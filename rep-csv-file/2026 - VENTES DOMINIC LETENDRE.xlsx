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ctif" sheetId="1" r:id="rId4"/>
    <sheet state="visible" name="Paye" sheetId="2" r:id="rId5"/>
    <sheet state="visible" name="Janvier" sheetId="3" r:id="rId6"/>
    <sheet state="visible" name="Février" sheetId="4" r:id="rId7"/>
    <sheet state="visible" name="Mars" sheetId="5" r:id="rId8"/>
    <sheet state="visible" name="Avril" sheetId="6" r:id="rId9"/>
    <sheet state="visible" name="Mai" sheetId="7" r:id="rId10"/>
    <sheet state="visible" name="Juin" sheetId="8" r:id="rId11"/>
    <sheet state="visible" name="Juillet" sheetId="9" r:id="rId12"/>
    <sheet state="visible" name="Août" sheetId="10" r:id="rId13"/>
    <sheet state="visible" name="Septembre" sheetId="11" r:id="rId14"/>
    <sheet state="visible" name="Octobre" sheetId="12" r:id="rId15"/>
    <sheet state="visible" name="Novembre" sheetId="13" r:id="rId16"/>
    <sheet state="visible" name="Décembre" sheetId="14" r:id="rId17"/>
  </sheets>
  <definedNames>
    <definedName hidden="1" localSheetId="2" name="_xlnm._FilterDatabase">Janvier!$A$7:$G$210</definedName>
    <definedName hidden="1" localSheetId="3" name="_xlnm._FilterDatabase">'Février'!$A$7:$G$211</definedName>
    <definedName hidden="1" localSheetId="4" name="_xlnm._FilterDatabase">Mars!$A$7:$G$211</definedName>
    <definedName hidden="1" localSheetId="5" name="_xlnm._FilterDatabase">Avril!$A$7:$G$213</definedName>
    <definedName hidden="1" localSheetId="8" name="_xlnm._FilterDatabase">Juillet!$A$7:$G$212</definedName>
    <definedName hidden="1" localSheetId="10" name="_xlnm._FilterDatabase">Septembre!$A$7:$G$212</definedName>
    <definedName hidden="1" localSheetId="11" name="_xlnm._FilterDatabase">Octobre!$A$7:$G$212</definedName>
  </definedNames>
  <calcPr/>
</workbook>
</file>

<file path=xl/sharedStrings.xml><?xml version="1.0" encoding="utf-8"?>
<sst xmlns="http://schemas.openxmlformats.org/spreadsheetml/2006/main" count="1784" uniqueCount="569">
  <si>
    <t>OBJECTIF ANNUEL</t>
  </si>
  <si>
    <t>Total</t>
  </si>
  <si>
    <t>Période</t>
  </si>
  <si>
    <t>Objectif</t>
  </si>
  <si>
    <t>% atteint</t>
  </si>
  <si>
    <t>Vente de l'année</t>
  </si>
  <si>
    <t>JANVIER</t>
  </si>
  <si>
    <t>FÉVRIER</t>
  </si>
  <si>
    <t>Objectif de vente annuel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</si>
  <si>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</si>
  <si>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</si>
  <si>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</si>
  <si>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</si>
  <si>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</si>
  <si>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</si>
  <si>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</si>
  <si>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</si>
  <si>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</si>
  <si>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</si>
  <si>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MULTI-ANNONCEURS</t>
  </si>
  <si>
    <t>PROMOTIONNEL</t>
  </si>
  <si>
    <t>DIST. PUBLICITAIRE SOLO</t>
  </si>
  <si>
    <t>NUMÉRIQUE</t>
  </si>
  <si>
    <t>APPLICATION</t>
  </si>
  <si>
    <t>SERVICES IA</t>
  </si>
  <si>
    <t xml:space="preserve">PAIEMENT AFFICHEZ </t>
  </si>
  <si>
    <t>SOLDE ANNÉE PRÉCÉDANTE</t>
  </si>
  <si>
    <t>PAYE #</t>
  </si>
  <si>
    <t>Salaire de base</t>
  </si>
  <si>
    <t>Commission</t>
  </si>
  <si>
    <t>Remboursement de dépenses</t>
  </si>
  <si>
    <t>Fériés</t>
  </si>
  <si>
    <t>Vacances</t>
  </si>
  <si>
    <t>MON BONUS ANNUEL</t>
  </si>
  <si>
    <t>COMMISSION 2025 FACTURÉES</t>
  </si>
  <si>
    <t>MONTANT EN BANQUE</t>
  </si>
  <si>
    <t>VACANCES ET FÉRIÉS</t>
  </si>
  <si>
    <t>VOIR SUR VOTRE TALON DE PAIE</t>
  </si>
  <si>
    <t>AUTRE (TOTAL)</t>
  </si>
  <si>
    <t>SOMME</t>
  </si>
  <si>
    <t>Totaux</t>
  </si>
  <si>
    <t>MÉDIA MULTI-ANNONCEURS</t>
  </si>
  <si>
    <t>Vente</t>
  </si>
  <si>
    <t>CLIENT</t>
  </si>
  <si>
    <t>TOTAL (AVANT TAXES)</t>
  </si>
  <si>
    <t># FACTURE</t>
  </si>
  <si>
    <t>DATE</t>
  </si>
  <si>
    <t>REPRÉSENTANT</t>
  </si>
  <si>
    <t>DÉPARTEMENT</t>
  </si>
  <si>
    <t>COMMISSION</t>
  </si>
  <si>
    <t>Solution Thermo Siège Social (9364-3138 Québec Inc.)</t>
  </si>
  <si>
    <t>QC-019152</t>
  </si>
  <si>
    <t>Dominic Letendre</t>
  </si>
  <si>
    <t>AGENCE PUB</t>
  </si>
  <si>
    <t>Centre de santé dentaire Beaudoin</t>
  </si>
  <si>
    <t>QC-019150</t>
  </si>
  <si>
    <t>Mirador Entrepreneur Général</t>
  </si>
  <si>
    <t>QC-019148</t>
  </si>
  <si>
    <t>Sports &amp; Stars Collectables</t>
  </si>
  <si>
    <t>QC-019146</t>
  </si>
  <si>
    <t>Projet Pinto</t>
  </si>
  <si>
    <t>QC-019144</t>
  </si>
  <si>
    <t>Transrapides S.E.C.</t>
  </si>
  <si>
    <t>QC-019143</t>
  </si>
  <si>
    <t>Gestion Parasitaire de la Capitale Inc.</t>
  </si>
  <si>
    <t>QC-019140</t>
  </si>
  <si>
    <t>AFA Construction</t>
  </si>
  <si>
    <t>QC-019138</t>
  </si>
  <si>
    <t>AGENCE WEB</t>
  </si>
  <si>
    <t>AIRA +</t>
  </si>
  <si>
    <t>QC-019126</t>
  </si>
  <si>
    <t>Construction NJD</t>
  </si>
  <si>
    <t>QC-019122</t>
  </si>
  <si>
    <t>Sinergix CPA</t>
  </si>
  <si>
    <t>QC-019112</t>
  </si>
  <si>
    <t>Élite Portes et Fenêtres</t>
  </si>
  <si>
    <t>QC-019110</t>
  </si>
  <si>
    <t>QC-019108</t>
  </si>
  <si>
    <t>Clinique Laser Épilation Inc.</t>
  </si>
  <si>
    <t>QC-019107</t>
  </si>
  <si>
    <t>Déneigement Pelletier</t>
  </si>
  <si>
    <t>QC-019104</t>
  </si>
  <si>
    <t>Toitures PME inc.</t>
  </si>
  <si>
    <t>QC-019103</t>
  </si>
  <si>
    <t>Trelec</t>
  </si>
  <si>
    <t>QC-019102</t>
  </si>
  <si>
    <t>Gestion immobilière Faleschini Mercier inc.</t>
  </si>
  <si>
    <t>QC-019100</t>
  </si>
  <si>
    <t>QC-019098</t>
  </si>
  <si>
    <t>Ameublement de bureau la capitale</t>
  </si>
  <si>
    <t>QC-019097</t>
  </si>
  <si>
    <t>QC-019096</t>
  </si>
  <si>
    <t>Newtec Électricité inc.</t>
  </si>
  <si>
    <t>QC-019095</t>
  </si>
  <si>
    <t>Installations Giguère Inc.</t>
  </si>
  <si>
    <t>QC-019094</t>
  </si>
  <si>
    <t>Toiture Québec</t>
  </si>
  <si>
    <t>QC-019093</t>
  </si>
  <si>
    <t>Toitures TF</t>
  </si>
  <si>
    <t>QC-019089</t>
  </si>
  <si>
    <t>Clinique Physio-Enfant</t>
  </si>
  <si>
    <t>QC-019087</t>
  </si>
  <si>
    <t>Hydrotherm</t>
  </si>
  <si>
    <t>QC-019086</t>
  </si>
  <si>
    <t>Quessy Avocats</t>
  </si>
  <si>
    <t>QC-019085</t>
  </si>
  <si>
    <t>Déneigement Stéphane Bernard</t>
  </si>
  <si>
    <t>QC-019084</t>
  </si>
  <si>
    <t>Répav</t>
  </si>
  <si>
    <t>QC-019083</t>
  </si>
  <si>
    <t>L'Intendant</t>
  </si>
  <si>
    <t>QC-019081</t>
  </si>
  <si>
    <t>Gamache Notaire</t>
  </si>
  <si>
    <t>QC-019080</t>
  </si>
  <si>
    <t>Pro de l'entretien</t>
  </si>
  <si>
    <t>QC-019079</t>
  </si>
  <si>
    <t>Clinique Chiropratique Laurier</t>
  </si>
  <si>
    <t>QC-019076</t>
  </si>
  <si>
    <t>QC-019162</t>
  </si>
  <si>
    <t>Environnement AGH</t>
  </si>
  <si>
    <t>QC-019177</t>
  </si>
  <si>
    <t>Tella &amp; Stella</t>
  </si>
  <si>
    <t>QC-019186</t>
  </si>
  <si>
    <t>QC-019184</t>
  </si>
  <si>
    <t>QC-019183</t>
  </si>
  <si>
    <t>Bernier Beaudry avocats</t>
  </si>
  <si>
    <t>QC-019182</t>
  </si>
  <si>
    <t>9450-4214 Québec Inc. (Ashton)</t>
  </si>
  <si>
    <t>CN-01064</t>
  </si>
  <si>
    <t>QC-019201</t>
  </si>
  <si>
    <t>Béland Lapointe</t>
  </si>
  <si>
    <t>QC-019200</t>
  </si>
  <si>
    <t>QC-019199</t>
  </si>
  <si>
    <t>QC-019197</t>
  </si>
  <si>
    <t>QC-019196</t>
  </si>
  <si>
    <t>A&amp;W Ste-Marie de Beauce</t>
  </si>
  <si>
    <t>QC-019195</t>
  </si>
  <si>
    <t>Alexe Bégin Courtier immobilier résidentiel</t>
  </si>
  <si>
    <t>QC-019194</t>
  </si>
  <si>
    <t>Sepia Peinture Inc.</t>
  </si>
  <si>
    <t>QC-019193</t>
  </si>
  <si>
    <t>QC-019192</t>
  </si>
  <si>
    <t>Remax Accès inc - Tom Donovan inc</t>
  </si>
  <si>
    <t>QC-019190</t>
  </si>
  <si>
    <t>QC-019205</t>
  </si>
  <si>
    <t>QC-019204</t>
  </si>
  <si>
    <t>QC-019202</t>
  </si>
  <si>
    <t>QC-019238</t>
  </si>
  <si>
    <t>Fixatech</t>
  </si>
  <si>
    <t>QC-019219</t>
  </si>
  <si>
    <t>QC-019208</t>
  </si>
  <si>
    <t>Pomerleau Les Bateaux</t>
  </si>
  <si>
    <t>QC-019233</t>
  </si>
  <si>
    <t>QC-019232</t>
  </si>
  <si>
    <t>Gestion DBG Inc.</t>
  </si>
  <si>
    <t>QC-019231</t>
  </si>
  <si>
    <t>QC-019228</t>
  </si>
  <si>
    <t>QC-019227</t>
  </si>
  <si>
    <t>QC-019226</t>
  </si>
  <si>
    <t>QC-019241</t>
  </si>
  <si>
    <t>9511-7503 Québec inc.</t>
  </si>
  <si>
    <t>QC-019240</t>
  </si>
  <si>
    <t>QC-019239</t>
  </si>
  <si>
    <t>Solution Thermo Haute Yamaska (9484-9643 Québec Inc.)</t>
  </si>
  <si>
    <t>QC-019237</t>
  </si>
  <si>
    <t>QC-019257</t>
  </si>
  <si>
    <t>QC-019248</t>
  </si>
  <si>
    <t>QC-019247</t>
  </si>
  <si>
    <t>BM service Traiteur</t>
  </si>
  <si>
    <t>QC-019260</t>
  </si>
  <si>
    <t>TAVATA CHALETS INC.</t>
  </si>
  <si>
    <t>QC-019262</t>
  </si>
  <si>
    <t>QC-019268</t>
  </si>
  <si>
    <t>Point Design</t>
  </si>
  <si>
    <t>QC-019279</t>
  </si>
  <si>
    <t>QC-019274</t>
  </si>
  <si>
    <t>QC-019318</t>
  </si>
  <si>
    <t>Refinancement Prestige</t>
  </si>
  <si>
    <t>QC-019314</t>
  </si>
  <si>
    <t>Installations Élite</t>
  </si>
  <si>
    <t>QC-019304</t>
  </si>
  <si>
    <t>TELUP INC.</t>
  </si>
  <si>
    <t>QC-019303</t>
  </si>
  <si>
    <t>QC-019295</t>
  </si>
  <si>
    <t>Décoration Lamontagne</t>
  </si>
  <si>
    <t>QC-019293</t>
  </si>
  <si>
    <t>QC-019291</t>
  </si>
  <si>
    <t>QC-019378</t>
  </si>
  <si>
    <t>QC-019288</t>
  </si>
  <si>
    <t>QC-019285</t>
  </si>
  <si>
    <t>QC-019283</t>
  </si>
  <si>
    <t>QC-019278</t>
  </si>
  <si>
    <t>Champlain Regional College</t>
  </si>
  <si>
    <t>QC-019267</t>
  </si>
  <si>
    <t>QC-019321</t>
  </si>
  <si>
    <t>QC-019375</t>
  </si>
  <si>
    <t>QC-019392</t>
  </si>
  <si>
    <t>QC-019330</t>
  </si>
  <si>
    <t>CN-01072</t>
  </si>
  <si>
    <t>AUTRE</t>
  </si>
  <si>
    <t>CN-01071</t>
  </si>
  <si>
    <t>9536-2760 Québec inc. (Les Toitures Tire-Fort)</t>
  </si>
  <si>
    <t>QC-019377</t>
  </si>
  <si>
    <t>QC-019376</t>
  </si>
  <si>
    <t>CN-01074</t>
  </si>
  <si>
    <t>QC-019384</t>
  </si>
  <si>
    <t>QC-019404</t>
  </si>
  <si>
    <t>QC-019403</t>
  </si>
  <si>
    <t>QC-019402</t>
  </si>
  <si>
    <t>QC-019401</t>
  </si>
  <si>
    <t>QC-019400</t>
  </si>
  <si>
    <t>QC-019399</t>
  </si>
  <si>
    <t>QC-019397</t>
  </si>
  <si>
    <t>QC-019394</t>
  </si>
  <si>
    <t>Alu-Rex Inc.</t>
  </si>
  <si>
    <t>QC-019390</t>
  </si>
  <si>
    <t>Transport Sylvain Blanchette</t>
  </si>
  <si>
    <t>QC-019387</t>
  </si>
  <si>
    <t>Haus Québec</t>
  </si>
  <si>
    <t>QC-019406</t>
  </si>
  <si>
    <t>H31 Agence de publicité Québec</t>
  </si>
  <si>
    <t>QC-019434</t>
  </si>
  <si>
    <t>QC-019429</t>
  </si>
  <si>
    <t>QC-019428</t>
  </si>
  <si>
    <t>QC-019427</t>
  </si>
  <si>
    <t>QC-019443</t>
  </si>
  <si>
    <t>CN-01091</t>
  </si>
  <si>
    <t>QC-019448</t>
  </si>
  <si>
    <t>Divex Marine</t>
  </si>
  <si>
    <t>QC-019451</t>
  </si>
  <si>
    <t>Papineau Sandblast Inc</t>
  </si>
  <si>
    <t>QC-019496</t>
  </si>
  <si>
    <t>QC-019457</t>
  </si>
  <si>
    <t>QC-019461</t>
  </si>
  <si>
    <t>QC-019459</t>
  </si>
  <si>
    <t>CLG Construction</t>
  </si>
  <si>
    <t>QC-019224</t>
  </si>
  <si>
    <t>QC-019471</t>
  </si>
  <si>
    <t>RE/MAX de Francheville</t>
  </si>
  <si>
    <t>QC-019466</t>
  </si>
  <si>
    <t>QC-019468</t>
  </si>
  <si>
    <t>Urgences Toitures</t>
  </si>
  <si>
    <t>QC-019469</t>
  </si>
  <si>
    <t>Ventilation Pro-Confort</t>
  </si>
  <si>
    <t>QC-019472</t>
  </si>
  <si>
    <t>QC-019476</t>
  </si>
  <si>
    <t>Nexel Solutions TI</t>
  </si>
  <si>
    <t>QC-019479</t>
  </si>
  <si>
    <t>QC-019498</t>
  </si>
  <si>
    <t>QC-019497</t>
  </si>
  <si>
    <t>QC-019495</t>
  </si>
  <si>
    <t>Solution Thermo Abitibi</t>
  </si>
  <si>
    <t>QC-019494</t>
  </si>
  <si>
    <t>QC-019492</t>
  </si>
  <si>
    <t>Michel Fawns courtier Remax Accès</t>
  </si>
  <si>
    <t>QC-019508</t>
  </si>
  <si>
    <t>L'Haies PRO</t>
  </si>
  <si>
    <t>QC-019505</t>
  </si>
  <si>
    <t>QC-019501</t>
  </si>
  <si>
    <t>CN-01093</t>
  </si>
  <si>
    <t>QC-019520</t>
  </si>
  <si>
    <t>QC-019523</t>
  </si>
  <si>
    <t>QC-019644</t>
  </si>
  <si>
    <t>Terrain DEV</t>
  </si>
  <si>
    <t>QC-019643</t>
  </si>
  <si>
    <t>QC-019641</t>
  </si>
  <si>
    <t>QC-019633</t>
  </si>
  <si>
    <t>QC-019626</t>
  </si>
  <si>
    <t>QC-019625</t>
  </si>
  <si>
    <t>Les Couverture metallique FKL inc</t>
  </si>
  <si>
    <t>QC-019623</t>
  </si>
  <si>
    <t>FKL Construction</t>
  </si>
  <si>
    <t>QC-019622</t>
  </si>
  <si>
    <t>QC-019618</t>
  </si>
  <si>
    <t>QC-019617</t>
  </si>
  <si>
    <t>QC-019616</t>
  </si>
  <si>
    <t>QC-019613</t>
  </si>
  <si>
    <t>QC-019611</t>
  </si>
  <si>
    <t>QC-019607</t>
  </si>
  <si>
    <t>QC-019604</t>
  </si>
  <si>
    <t>QC-019546</t>
  </si>
  <si>
    <t>QC-019544</t>
  </si>
  <si>
    <t>QC-019543</t>
  </si>
  <si>
    <t>TOTAL(AVANTTAXES)</t>
  </si>
  <si>
    <t>QC-019661</t>
  </si>
  <si>
    <t>Epoxy JJ</t>
  </si>
  <si>
    <t>CN-01109</t>
  </si>
  <si>
    <t>CN-01101</t>
  </si>
  <si>
    <t>CN-01100</t>
  </si>
  <si>
    <t>Alpha Filtration Canada</t>
  </si>
  <si>
    <t>QC-019640</t>
  </si>
  <si>
    <t>QC-019656</t>
  </si>
  <si>
    <t>QC-019667</t>
  </si>
  <si>
    <t>QC-019665</t>
  </si>
  <si>
    <t>QC-019663</t>
  </si>
  <si>
    <t>QC-019687</t>
  </si>
  <si>
    <t>Nassan Québec</t>
  </si>
  <si>
    <t>QC-019686</t>
  </si>
  <si>
    <t>Solution Thermo RS</t>
  </si>
  <si>
    <t>QC-019685</t>
  </si>
  <si>
    <t>Solution Thermo Richelieu</t>
  </si>
  <si>
    <t>QC-019684</t>
  </si>
  <si>
    <t>Solution Thermo Franchisé Rive-Nord &amp; Laurentides- 9461-3502 Québec inc.</t>
  </si>
  <si>
    <t>QC-019683</t>
  </si>
  <si>
    <t>QC-019681</t>
  </si>
  <si>
    <t>Dairy Queen 9137-1443 Québec inc.</t>
  </si>
  <si>
    <t>QC-019678</t>
  </si>
  <si>
    <t>Peinture Spray-net Québec inc.</t>
  </si>
  <si>
    <t>QC-019677</t>
  </si>
  <si>
    <t>Pro Peinture</t>
  </si>
  <si>
    <t>QC-019676</t>
  </si>
  <si>
    <t>QC-019675</t>
  </si>
  <si>
    <t>QC-019674</t>
  </si>
  <si>
    <t>QC-019673</t>
  </si>
  <si>
    <t>Solution Thermo Lévis Beauce Inc.</t>
  </si>
  <si>
    <t>QC-019670</t>
  </si>
  <si>
    <t>QC-019699</t>
  </si>
  <si>
    <t>Montego</t>
  </si>
  <si>
    <t>QC-019698</t>
  </si>
  <si>
    <t>QC-019697</t>
  </si>
  <si>
    <t>QC-019696</t>
  </si>
  <si>
    <t>QC-019695</t>
  </si>
  <si>
    <t>QC-019694</t>
  </si>
  <si>
    <t>QC-019690</t>
  </si>
  <si>
    <t>Gestion Chaletô inc.</t>
  </si>
  <si>
    <t>QC-019688</t>
  </si>
  <si>
    <t>CN-01096</t>
  </si>
  <si>
    <t>CN-01095</t>
  </si>
  <si>
    <t>Bild immobilier SEC</t>
  </si>
  <si>
    <t>QC-019705</t>
  </si>
  <si>
    <t>QC-019704</t>
  </si>
  <si>
    <t>QC-019702</t>
  </si>
  <si>
    <t>QC-019720</t>
  </si>
  <si>
    <t>QC-019719</t>
  </si>
  <si>
    <t>QC-019716</t>
  </si>
  <si>
    <t>QC-019728</t>
  </si>
  <si>
    <t>QC-019722</t>
  </si>
  <si>
    <t>Paysagement Québec</t>
  </si>
  <si>
    <t>QC-019747</t>
  </si>
  <si>
    <t>Shop Santé Inc.</t>
  </si>
  <si>
    <t>QC-019738</t>
  </si>
  <si>
    <t>QC-019733</t>
  </si>
  <si>
    <t>QC-019751</t>
  </si>
  <si>
    <t>QC-019750</t>
  </si>
  <si>
    <t>QC-019748</t>
  </si>
  <si>
    <t>QC-019761</t>
  </si>
  <si>
    <t>QC-019760</t>
  </si>
  <si>
    <t>Toitures Paradis</t>
  </si>
  <si>
    <t>QC-019757</t>
  </si>
  <si>
    <t>QC-019767</t>
  </si>
  <si>
    <t>Nous sommes ici</t>
  </si>
  <si>
    <t>QC-019765</t>
  </si>
  <si>
    <t>QC-019786</t>
  </si>
  <si>
    <t>Optimal paiement</t>
  </si>
  <si>
    <t>QC-019784</t>
  </si>
  <si>
    <t>QC-019783</t>
  </si>
  <si>
    <t>QC-019778</t>
  </si>
  <si>
    <t>QC-019813</t>
  </si>
  <si>
    <t>QC-019810</t>
  </si>
  <si>
    <t>QC-019808</t>
  </si>
  <si>
    <t>QC-019807</t>
  </si>
  <si>
    <t>QC-019806</t>
  </si>
  <si>
    <t>QC-019804</t>
  </si>
  <si>
    <t>QC-019803</t>
  </si>
  <si>
    <t>QC-019798</t>
  </si>
  <si>
    <t>QC-019796</t>
  </si>
  <si>
    <t>QC-019795</t>
  </si>
  <si>
    <t>QC-019828</t>
  </si>
  <si>
    <t>QC-019822</t>
  </si>
  <si>
    <t>QC-019820</t>
  </si>
  <si>
    <t>CN-01111</t>
  </si>
  <si>
    <t>QC-019832</t>
  </si>
  <si>
    <t>Agentyx Technologies inc.</t>
  </si>
  <si>
    <t>QC-019830</t>
  </si>
  <si>
    <t>Origami Extraction</t>
  </si>
  <si>
    <t>QC-019829</t>
  </si>
  <si>
    <t>Duma Construction</t>
  </si>
  <si>
    <t>QC-019839</t>
  </si>
  <si>
    <t>QC-019837</t>
  </si>
  <si>
    <t>QC-019836</t>
  </si>
  <si>
    <t>QC-019835</t>
  </si>
  <si>
    <t>QC-019868</t>
  </si>
  <si>
    <t>QC-019854</t>
  </si>
  <si>
    <t>Frédérick Masson Courtier Immobilier Inc.</t>
  </si>
  <si>
    <t>QC-019853</t>
  </si>
  <si>
    <t>QC-019852</t>
  </si>
  <si>
    <t>QC-019848</t>
  </si>
  <si>
    <t>François Gagné Remax</t>
  </si>
  <si>
    <t>QC-019875</t>
  </si>
  <si>
    <t>QC-019872</t>
  </si>
  <si>
    <t>Construction JB2 Inc.</t>
  </si>
  <si>
    <t>QC-019869</t>
  </si>
  <si>
    <t>QC-019895</t>
  </si>
  <si>
    <t>QC-019894</t>
  </si>
  <si>
    <t>QC-019892</t>
  </si>
  <si>
    <t>QC-019887</t>
  </si>
  <si>
    <t>Groupe Terexca</t>
  </si>
  <si>
    <t>QC-019886</t>
  </si>
  <si>
    <t>QC-019883</t>
  </si>
  <si>
    <t>Solution Thermo Outaouais inc.</t>
  </si>
  <si>
    <t>QC-019881</t>
  </si>
  <si>
    <t>QC-020034</t>
  </si>
  <si>
    <t>QC-020031</t>
  </si>
  <si>
    <t>QC-020030</t>
  </si>
  <si>
    <t>QC-020029</t>
  </si>
  <si>
    <t>QC-020019</t>
  </si>
  <si>
    <t>QC-020018</t>
  </si>
  <si>
    <t>QC-020012</t>
  </si>
  <si>
    <t>QC-020011</t>
  </si>
  <si>
    <t>QC-020010</t>
  </si>
  <si>
    <t>QC-020008</t>
  </si>
  <si>
    <t>QC-020006</t>
  </si>
  <si>
    <t>QC-020005</t>
  </si>
  <si>
    <t>QC-020003</t>
  </si>
  <si>
    <t>QC-020002</t>
  </si>
  <si>
    <t>QC-020000</t>
  </si>
  <si>
    <t>QC-019995</t>
  </si>
  <si>
    <t>Entretien DPF Québec inc.</t>
  </si>
  <si>
    <t>QC-019923</t>
  </si>
  <si>
    <t>QC-019897</t>
  </si>
  <si>
    <t>QC-019878</t>
  </si>
  <si>
    <t>QC-019989</t>
  </si>
  <si>
    <t>Les Rampes Gardex inc.</t>
  </si>
  <si>
    <t>QC-019993</t>
  </si>
  <si>
    <t>QC-019982</t>
  </si>
  <si>
    <t>QC-020047</t>
  </si>
  <si>
    <t>QC-020045</t>
  </si>
  <si>
    <t>Johanne Asselin</t>
  </si>
  <si>
    <t>QC-020054</t>
  </si>
  <si>
    <t>Michael Baker Michael Baker</t>
  </si>
  <si>
    <t>QC-020072</t>
  </si>
  <si>
    <t>Pier-Luc Bilodeau</t>
  </si>
  <si>
    <t>QC-020057</t>
  </si>
  <si>
    <t>QC-020067</t>
  </si>
  <si>
    <t>QC-020062</t>
  </si>
  <si>
    <t>QC-020065</t>
  </si>
  <si>
    <t>QC-020075</t>
  </si>
  <si>
    <t>Martin Leclerc - Royal Lepage Inter-Québec</t>
  </si>
  <si>
    <t>QC-020055</t>
  </si>
  <si>
    <t>QC-020068</t>
  </si>
  <si>
    <t>QC-020060</t>
  </si>
  <si>
    <t>QC-020066</t>
  </si>
  <si>
    <t>QC-020061</t>
  </si>
  <si>
    <t>Solution Thermo Sherbrooke</t>
  </si>
  <si>
    <t>QC-020079</t>
  </si>
  <si>
    <t>QC-020077</t>
  </si>
  <si>
    <t>QC-020078</t>
  </si>
  <si>
    <t>QC-020069</t>
  </si>
  <si>
    <t>QC-020059</t>
  </si>
  <si>
    <t>QC-020073</t>
  </si>
  <si>
    <t>QC-020056</t>
  </si>
  <si>
    <t>QC-020071</t>
  </si>
  <si>
    <t>QC-020081</t>
  </si>
  <si>
    <t>QC-020083</t>
  </si>
  <si>
    <t>CN-01154</t>
  </si>
  <si>
    <t>Olivier Villeneuve</t>
  </si>
  <si>
    <t>QC-020095</t>
  </si>
  <si>
    <t>Marika Frenette</t>
  </si>
  <si>
    <t>QC-020094</t>
  </si>
  <si>
    <t>Julie Dubé Julie Dubé</t>
  </si>
  <si>
    <t>QC-020098</t>
  </si>
  <si>
    <t>Steeven Cloutier</t>
  </si>
  <si>
    <t>QC-020096</t>
  </si>
  <si>
    <t>Vente interne</t>
  </si>
  <si>
    <t>QC-020102</t>
  </si>
  <si>
    <t>QC-020093</t>
  </si>
  <si>
    <t>Marlène Boiteau</t>
  </si>
  <si>
    <t>QC-020118</t>
  </si>
  <si>
    <t>Gaëtan Goujard</t>
  </si>
  <si>
    <t>QC-020117</t>
  </si>
  <si>
    <t>Maçonnerie Pro-Tech</t>
  </si>
  <si>
    <t>QC-020115</t>
  </si>
  <si>
    <t>Alexandre Verret Alexandre Verret</t>
  </si>
  <si>
    <t>QC-020106</t>
  </si>
  <si>
    <t>QC-020104</t>
  </si>
  <si>
    <t>QC-020108</t>
  </si>
  <si>
    <t>QC-020113</t>
  </si>
  <si>
    <t>CN-01159</t>
  </si>
  <si>
    <t>QC-020122</t>
  </si>
  <si>
    <t>QC-020123</t>
  </si>
  <si>
    <t>Charles-Antoine Danis</t>
  </si>
  <si>
    <t>QC-020119</t>
  </si>
  <si>
    <t>QC-020131</t>
  </si>
  <si>
    <t>QC-020124</t>
  </si>
  <si>
    <t>Maggy Quesnel</t>
  </si>
  <si>
    <t>QC-020125</t>
  </si>
  <si>
    <t>Maud Patterson</t>
  </si>
  <si>
    <t>QC-020126</t>
  </si>
  <si>
    <t>QC-020139</t>
  </si>
  <si>
    <t>QC-020137</t>
  </si>
  <si>
    <t>Daniel Laberge</t>
  </si>
  <si>
    <t>QC-020136</t>
  </si>
  <si>
    <t>GROUPE COLAS QUÉBEC INC.</t>
  </si>
  <si>
    <t>QC-020149</t>
  </si>
  <si>
    <t>Wifi Québec</t>
  </si>
  <si>
    <t>QC-020169</t>
  </si>
  <si>
    <t>QC-020148</t>
  </si>
  <si>
    <t>QC-020147</t>
  </si>
  <si>
    <t>QC-020150</t>
  </si>
  <si>
    <t>QC-020141</t>
  </si>
  <si>
    <t>Zach Goyer</t>
  </si>
  <si>
    <t>QC-020151</t>
  </si>
  <si>
    <t>QC-020159</t>
  </si>
  <si>
    <t>QC-020158</t>
  </si>
  <si>
    <t>QC-020167</t>
  </si>
  <si>
    <t>CN-01168</t>
  </si>
  <si>
    <t>CN-01167</t>
  </si>
  <si>
    <t>CN-01165</t>
  </si>
  <si>
    <t>Victor Légaré</t>
  </si>
  <si>
    <t>QC-020172</t>
  </si>
  <si>
    <t>Jacqueline Carrier</t>
  </si>
  <si>
    <t>QC-020171</t>
  </si>
  <si>
    <t>QC-020178</t>
  </si>
  <si>
    <t>CN-01169</t>
  </si>
  <si>
    <t>CN-01171</t>
  </si>
  <si>
    <t>CN-01172</t>
  </si>
  <si>
    <t>CN-01176</t>
  </si>
  <si>
    <t>CN-01175</t>
  </si>
  <si>
    <t>CN-01174</t>
  </si>
  <si>
    <t>MOUNT ROYAL/WALSH INC.</t>
  </si>
  <si>
    <t>QC-020194</t>
  </si>
  <si>
    <t>CLUB ROOLOTO INC.</t>
  </si>
  <si>
    <t>QC-020196</t>
  </si>
  <si>
    <t>QC-020198</t>
  </si>
  <si>
    <t>CN-01178</t>
  </si>
  <si>
    <t>CN-01179</t>
  </si>
  <si>
    <t>QC-020208</t>
  </si>
  <si>
    <t>QC-020215</t>
  </si>
  <si>
    <t>QC-020214</t>
  </si>
  <si>
    <t>QC-020217</t>
  </si>
  <si>
    <t>QC-020220</t>
  </si>
  <si>
    <t>QC-020216</t>
  </si>
  <si>
    <t>QC-020226</t>
  </si>
  <si>
    <t>QC-020219</t>
  </si>
  <si>
    <t>QC-020225</t>
  </si>
  <si>
    <t>QC-020291</t>
  </si>
  <si>
    <t>QC-020284</t>
  </si>
  <si>
    <t>QC-020273</t>
  </si>
  <si>
    <t>QC-020271</t>
  </si>
  <si>
    <t>QC-020268</t>
  </si>
  <si>
    <t>Solution Thermo DD inc.</t>
  </si>
  <si>
    <t>QC-020258</t>
  </si>
  <si>
    <t>Groupe Top Resto</t>
  </si>
  <si>
    <t>QC-020254</t>
  </si>
  <si>
    <t>QC-020253</t>
  </si>
  <si>
    <t>Centres hypothécaires Boréal</t>
  </si>
  <si>
    <t>QC-020252</t>
  </si>
  <si>
    <t>QC-020248</t>
  </si>
  <si>
    <t>Gestion TF</t>
  </si>
  <si>
    <t>QC-020239</t>
  </si>
  <si>
    <t>QC-020238</t>
  </si>
  <si>
    <t>QC-020240</t>
  </si>
  <si>
    <t>Manon Landry</t>
  </si>
  <si>
    <t>QC-020234</t>
  </si>
  <si>
    <t>Melanie Jabin</t>
  </si>
  <si>
    <t>QC-020233</t>
  </si>
  <si>
    <t>QC-020232</t>
  </si>
  <si>
    <t>QC-020231</t>
  </si>
  <si>
    <t>Annabelle Cloutier</t>
  </si>
  <si>
    <t>QC-020255</t>
  </si>
  <si>
    <t>QC-020247</t>
  </si>
  <si>
    <t>Véronique Lévesque</t>
  </si>
  <si>
    <t>QC-020246</t>
  </si>
  <si>
    <t>Vanessa Lemay</t>
  </si>
  <si>
    <t>QC-020245</t>
  </si>
  <si>
    <t>QC-020244</t>
  </si>
  <si>
    <t>CN-01186</t>
  </si>
  <si>
    <t>CN-01183</t>
  </si>
  <si>
    <t>CN-01182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</si>
</sst>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[$$]"/>
    <numFmt numFmtId="165" formatCode="_-* #,##0.00\ &quot;$&quot;_-;\-* #,##0.00\ &quot;$&quot;_-;_-* &quot;-&quot;??\ &quot;$&quot;_-;_-@"/>
    <numFmt numFmtId="166" formatCode="[$$]#,##0.00"/>
    <numFmt numFmtId="167" formatCode="d mmmm yyyy"/>
    <numFmt numFmtId="168" formatCode="d mmmm"/>
    <numFmt numFmtId="169" formatCode="dd/MM/yyyy"/>
    <numFmt numFmtId="170" formatCode="&quot;$&quot;#,##0.00"/>
    <numFmt numFmtId="171" formatCode="dd/mm/yyyy"/>
    <numFmt numFmtId="172" formatCode="yyyy-mm-dd"/>
    <numFmt numFmtId="173" formatCode="dd-mm-yy"/>
  </numFmts>
  <fonts count="15">
    <font>
      <sz val="11.0"/>
      <color rgb="FF000000"/>
      <name val="Calibri"/>
    </font>
    <font>
      <b/>
      <sz val="11.0"/>
      <name val="Calibri"/>
    </font>
    <font/>
    <font>
      <sz val="11.0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2.0"/>
      <color rgb="FF000000"/>
      <name val="Calibri"/>
    </font>
    <font>
      <b/>
      <sz val="11.0"/>
      <color rgb="FF000000"/>
      <name val="Arial"/>
    </font>
    <font>
      <sz val="12.0"/>
      <name val="Calibri"/>
    </font>
    <font>
      <b/>
      <sz val="13.0"/>
      <color rgb="FF000000"/>
      <name val="Calibri"/>
    </font>
    <font>
      <b/>
      <sz val="13.0"/>
      <name val="Calibri"/>
    </font>
    <font>
      <sz val="11.0"/>
    </font>
    <font>
      <b/>
      <sz val="13.0"/>
      <color rgb="FFFF0000"/>
      <name val="Calibri"/>
    </font>
    <font>
      <b/>
      <sz val="18.0"/>
      <name val="Calibri"/>
    </font>
    <font>
      <b/>
      <sz val="14.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shrinkToFit="0" vertical="center" wrapText="1"/>
    </xf>
    <xf borderId="7" fillId="0" fontId="3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" fillId="3" fontId="0" numFmtId="16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 vertical="center"/>
    </xf>
    <xf borderId="5" fillId="0" fontId="3" numFmtId="2" xfId="0" applyAlignment="1" applyBorder="1" applyFont="1" applyNumberFormat="1">
      <alignment horizontal="center"/>
    </xf>
    <xf borderId="5" fillId="0" fontId="3" numFmtId="10" xfId="0" applyAlignment="1" applyBorder="1" applyFont="1" applyNumberForma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3" numFmtId="2" xfId="0" applyAlignment="1" applyBorder="1" applyFont="1" applyNumberFormat="1">
      <alignment horizontal="center"/>
    </xf>
    <xf borderId="10" fillId="0" fontId="3" numFmtId="10" xfId="0" applyAlignment="1" applyBorder="1" applyFont="1" applyNumberFormat="1">
      <alignment horizontal="center" vertical="bottom"/>
    </xf>
    <xf borderId="0" fillId="0" fontId="0" numFmtId="16" xfId="0" applyAlignment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6" fillId="2" fontId="6" numFmtId="0" xfId="0" applyAlignment="1" applyBorder="1" applyFont="1">
      <alignment horizontal="center" shrinkToFit="0" vertical="center" wrapText="1"/>
    </xf>
    <xf borderId="7" fillId="0" fontId="3" numFmtId="10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center" vertical="center"/>
    </xf>
    <xf borderId="5" fillId="4" fontId="6" numFmtId="165" xfId="0" applyAlignment="1" applyBorder="1" applyFill="1" applyFont="1" applyNumberFormat="1">
      <alignment horizontal="center" vertical="center"/>
    </xf>
    <xf borderId="5" fillId="4" fontId="6" numFmtId="10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vertical="center"/>
    </xf>
    <xf borderId="2" fillId="7" fontId="4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horizontal="center" readingOrder="0" vertical="center"/>
    </xf>
    <xf borderId="2" fillId="9" fontId="4" numFmtId="0" xfId="0" applyAlignment="1" applyBorder="1" applyFill="1" applyFont="1">
      <alignment horizontal="center" readingOrder="0" vertical="center"/>
    </xf>
    <xf borderId="2" fillId="10" fontId="4" numFmtId="0" xfId="0" applyAlignment="1" applyBorder="1" applyFill="1" applyFont="1">
      <alignment horizontal="center" readingOrder="0" vertical="center"/>
    </xf>
    <xf borderId="11" fillId="3" fontId="7" numFmtId="0" xfId="0" applyAlignment="1" applyBorder="1" applyFont="1">
      <alignment horizontal="center" vertical="center"/>
    </xf>
    <xf borderId="11" fillId="3" fontId="0" numFmtId="16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vertical="bottom"/>
    </xf>
    <xf borderId="4" fillId="0" fontId="3" numFmtId="2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vertical="center"/>
    </xf>
    <xf borderId="4" fillId="0" fontId="3" numFmtId="2" xfId="0" applyAlignment="1" applyBorder="1" applyFont="1" applyNumberFormat="1">
      <alignment horizontal="center" readingOrder="0" vertical="center"/>
    </xf>
    <xf borderId="4" fillId="0" fontId="3" numFmtId="2" xfId="0" applyAlignment="1" applyBorder="1" applyFont="1" applyNumberFormat="1">
      <alignment horizontal="center"/>
    </xf>
    <xf borderId="4" fillId="0" fontId="3" numFmtId="2" xfId="0" applyAlignment="1" applyBorder="1" applyFont="1" applyNumberFormat="1">
      <alignment horizontal="center" readingOrder="0"/>
    </xf>
    <xf borderId="11" fillId="3" fontId="6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6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0" fillId="0" fontId="3" numFmtId="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9" fillId="0" fontId="9" numFmtId="165" xfId="0" applyAlignment="1" applyBorder="1" applyFont="1" applyNumberFormat="1">
      <alignment horizontal="center" shrinkToFit="0" vertical="center" wrapText="1"/>
    </xf>
    <xf borderId="9" fillId="4" fontId="10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0" fillId="0" fontId="0" numFmtId="0" xfId="0" applyAlignment="1" applyBorder="1" applyFont="1">
      <alignment horizontal="center"/>
    </xf>
    <xf borderId="4" fillId="0" fontId="0" numFmtId="166" xfId="0" applyAlignment="1" applyBorder="1" applyFont="1" applyNumberFormat="1">
      <alignment horizontal="center"/>
    </xf>
    <xf borderId="4" fillId="0" fontId="0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 vertical="center"/>
    </xf>
    <xf borderId="4" fillId="0" fontId="0" numFmtId="166" xfId="0" applyAlignment="1" applyBorder="1" applyFont="1" applyNumberFormat="1">
      <alignment horizontal="center" readingOrder="0" vertical="center"/>
    </xf>
    <xf borderId="4" fillId="0" fontId="0" numFmtId="166" xfId="0" applyAlignment="1" applyBorder="1" applyFont="1" applyNumberFormat="1">
      <alignment horizontal="center" vertical="center"/>
    </xf>
    <xf borderId="4" fillId="0" fontId="3" numFmtId="168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0" fillId="0" fontId="11" numFmtId="0" xfId="0" applyFont="1"/>
    <xf borderId="4" fillId="0" fontId="3" numFmtId="0" xfId="0" applyAlignment="1" applyBorder="1" applyFont="1">
      <alignment horizontal="center" vertical="center"/>
    </xf>
    <xf borderId="10" fillId="0" fontId="0" numFmtId="167" xfId="0" applyAlignment="1" applyBorder="1" applyFont="1" applyNumberFormat="1">
      <alignment horizontal="center" readingOrder="0"/>
    </xf>
    <xf borderId="0" fillId="0" fontId="10" numFmtId="166" xfId="0" applyAlignment="1" applyFont="1" applyNumberFormat="1">
      <alignment horizontal="center" vertical="center"/>
    </xf>
    <xf borderId="12" fillId="0" fontId="10" numFmtId="166" xfId="0" applyAlignment="1" applyBorder="1" applyFont="1" applyNumberFormat="1">
      <alignment horizontal="center" vertical="center"/>
    </xf>
    <xf borderId="13" fillId="0" fontId="9" numFmtId="166" xfId="0" applyAlignment="1" applyBorder="1" applyFont="1" applyNumberFormat="1">
      <alignment horizontal="center" shrinkToFit="0" wrapText="1"/>
    </xf>
    <xf borderId="0" fillId="0" fontId="12" numFmtId="164" xfId="0" applyAlignment="1" applyFont="1" applyNumberFormat="1">
      <alignment horizontal="center" shrinkToFit="0" vertical="center" wrapText="1"/>
    </xf>
    <xf borderId="13" fillId="0" fontId="2" numFmtId="0" xfId="0" applyBorder="1" applyFont="1"/>
    <xf borderId="13" fillId="0" fontId="9" numFmtId="166" xfId="0" applyAlignment="1" applyBorder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10" fillId="0" fontId="0" numFmtId="167" xfId="0" applyAlignment="1" applyBorder="1" applyFont="1" applyNumberFormat="1">
      <alignment horizontal="center" readingOrder="0" vertical="center"/>
    </xf>
    <xf borderId="12" fillId="0" fontId="3" numFmtId="166" xfId="0" applyAlignment="1" applyBorder="1" applyFont="1" applyNumberFormat="1">
      <alignment horizontal="center" vertical="center"/>
    </xf>
    <xf borderId="12" fillId="2" fontId="3" numFmtId="166" xfId="0" applyAlignment="1" applyBorder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0" fillId="0" fontId="0" numFmtId="0" xfId="0" applyAlignment="1" applyBorder="1" applyFont="1">
      <alignment horizontal="center" vertical="center"/>
    </xf>
    <xf borderId="10" fillId="0" fontId="3" numFmtId="15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11" fontId="3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center" readingOrder="0" vertical="center"/>
    </xf>
    <xf borderId="0" fillId="10" fontId="1" numFmtId="0" xfId="0" applyAlignment="1" applyFon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5" fontId="14" numFmtId="164" xfId="0" applyAlignment="1" applyFont="1" applyNumberFormat="1">
      <alignment horizontal="center" vertical="center"/>
    </xf>
    <xf borderId="0" fillId="6" fontId="14" numFmtId="164" xfId="0" applyAlignment="1" applyFont="1" applyNumberFormat="1">
      <alignment horizontal="center" vertical="center"/>
    </xf>
    <xf borderId="0" fillId="7" fontId="14" numFmtId="164" xfId="0" applyAlignment="1" applyFont="1" applyNumberFormat="1">
      <alignment horizontal="center" vertical="center"/>
    </xf>
    <xf borderId="0" fillId="8" fontId="14" numFmtId="164" xfId="0" applyAlignment="1" applyFont="1" applyNumberFormat="1">
      <alignment horizontal="center" vertical="center"/>
    </xf>
    <xf borderId="0" fillId="9" fontId="14" numFmtId="164" xfId="0" applyAlignment="1" applyFont="1" applyNumberFormat="1">
      <alignment horizontal="center" vertical="center"/>
    </xf>
    <xf borderId="0" fillId="10" fontId="14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shrinkToFit="0" vertical="bottom" wrapText="0"/>
    </xf>
    <xf borderId="0" fillId="11" fontId="0" numFmtId="166" xfId="0" applyAlignment="1" applyFont="1" applyNumberFormat="1">
      <alignment horizontal="center" readingOrder="0" shrinkToFit="0" vertical="bottom" wrapText="0"/>
    </xf>
    <xf borderId="0" fillId="0" fontId="0" numFmtId="3" xfId="0" applyAlignment="1" applyFont="1" applyNumberFormat="1">
      <alignment horizontal="center" readingOrder="0" shrinkToFit="0" vertical="bottom" wrapText="0"/>
    </xf>
    <xf borderId="0" fillId="0" fontId="0" numFmtId="169" xfId="0" applyAlignment="1" applyFont="1" applyNumberFormat="1">
      <alignment horizontal="center" readingOrder="0" shrinkToFit="0" vertical="bottom" wrapText="0"/>
    </xf>
    <xf borderId="0" fillId="0" fontId="0" numFmtId="170" xfId="0" applyAlignment="1" applyFont="1" applyNumberFormat="1">
      <alignment horizontal="center" readingOrder="0" shrinkToFit="0" vertical="bottom" wrapText="0"/>
    </xf>
    <xf borderId="0" fillId="0" fontId="3" numFmtId="171" xfId="0" applyAlignment="1" applyFont="1" applyNumberFormat="1">
      <alignment horizontal="center" readingOrder="0" vertical="center"/>
    </xf>
    <xf borderId="0" fillId="0" fontId="3" numFmtId="170" xfId="0" applyAlignment="1" applyFont="1" applyNumberFormat="1">
      <alignment horizontal="center" readingOrder="0" vertical="center"/>
    </xf>
    <xf borderId="0" fillId="11" fontId="3" numFmtId="0" xfId="0" applyAlignment="1" applyFont="1">
      <alignment horizontal="center" vertical="center"/>
    </xf>
    <xf borderId="0" fillId="0" fontId="3" numFmtId="170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0" numFmtId="0" xfId="0" applyAlignment="1" applyFont="1">
      <alignment horizontal="center" vertical="bottom"/>
    </xf>
    <xf borderId="0" fillId="0" fontId="0" numFmtId="166" xfId="0" applyAlignment="1" applyFont="1" applyNumberFormat="1">
      <alignment horizontal="center" readingOrder="0" shrinkToFit="0" vertical="bottom" wrapText="0"/>
    </xf>
    <xf borderId="0" fillId="0" fontId="3" numFmtId="164" xfId="0" applyFont="1" applyNumberFormat="1"/>
    <xf borderId="0" fillId="0" fontId="1" numFmtId="49" xfId="0" applyAlignment="1" applyFont="1" applyNumberFormat="1">
      <alignment horizontal="center" readingOrder="0" vertical="center"/>
    </xf>
    <xf borderId="0" fillId="0" fontId="0" numFmtId="172" xfId="0" applyAlignment="1" applyFont="1" applyNumberFormat="1">
      <alignment horizontal="center" vertical="bottom"/>
    </xf>
    <xf borderId="0" fillId="11" fontId="0" numFmtId="166" xfId="0" applyAlignment="1" applyFont="1" applyNumberFormat="1">
      <alignment horizontal="center" vertical="bottom"/>
    </xf>
    <xf borderId="0" fillId="0" fontId="0" numFmtId="3" xfId="0" applyAlignment="1" applyFont="1" applyNumberFormat="1">
      <alignment horizontal="center" vertical="bottom"/>
    </xf>
    <xf borderId="0" fillId="0" fontId="0" numFmtId="169" xfId="0" applyAlignment="1" applyFont="1" applyNumberFormat="1">
      <alignment horizontal="center" vertical="bottom"/>
    </xf>
    <xf borderId="0" fillId="0" fontId="0" numFmtId="0" xfId="0" applyAlignment="1" applyFont="1">
      <alignment horizontal="center" vertical="bottom"/>
    </xf>
    <xf borderId="0" fillId="11" fontId="0" numFmtId="172" xfId="0" applyAlignment="1" applyFont="1" applyNumberFormat="1">
      <alignment horizontal="center" vertical="bottom"/>
    </xf>
    <xf borderId="0" fillId="11" fontId="0" numFmtId="3" xfId="0" applyAlignment="1" applyFont="1" applyNumberFormat="1">
      <alignment horizontal="center" vertical="bottom"/>
    </xf>
    <xf borderId="0" fillId="11" fontId="0" numFmtId="169" xfId="0" applyAlignment="1" applyFont="1" applyNumberFormat="1">
      <alignment horizontal="center" vertical="bottom"/>
    </xf>
    <xf borderId="0" fillId="11" fontId="0" numFmtId="166" xfId="0" applyAlignment="1" applyFont="1" applyNumberFormat="1">
      <alignment horizontal="center" readingOrder="0" vertical="bottom"/>
    </xf>
    <xf borderId="0" fillId="11" fontId="0" numFmtId="3" xfId="0" applyAlignment="1" applyFont="1" applyNumberFormat="1">
      <alignment horizontal="center" readingOrder="0" vertical="bottom"/>
    </xf>
    <xf borderId="0" fillId="11" fontId="0" numFmtId="169" xfId="0" applyAlignment="1" applyFont="1" applyNumberFormat="1">
      <alignment horizontal="center" readingOrder="0" vertical="bottom"/>
    </xf>
    <xf borderId="0" fillId="11" fontId="0" numFmtId="0" xfId="0" applyAlignment="1" applyFont="1">
      <alignment horizontal="center" readingOrder="0" vertical="bottom"/>
    </xf>
    <xf borderId="0" fillId="0" fontId="0" numFmtId="0" xfId="0" applyAlignment="1" applyFont="1">
      <alignment horizontal="center" readingOrder="0" vertical="bottom"/>
    </xf>
    <xf borderId="0" fillId="0" fontId="0" numFmtId="172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readingOrder="0" vertical="center"/>
    </xf>
    <xf borderId="0" fillId="0" fontId="3" numFmtId="169" xfId="0" applyAlignment="1" applyFont="1" applyNumberFormat="1">
      <alignment horizontal="center" readingOrder="0" vertical="center"/>
    </xf>
    <xf borderId="0" fillId="0" fontId="3" numFmtId="173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0" fontId="3" numFmtId="172" xfId="0" applyAlignment="1" applyFont="1" applyNumberFormat="1">
      <alignment horizontal="center" shrinkToFit="0" vertical="center" wrapText="1"/>
    </xf>
    <xf borderId="0" fillId="0" fontId="3" numFmtId="172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33" width="16.4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/>
      <c r="B2" s="3"/>
      <c r="C2" s="6" t="s">
        <v>1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7" t="s">
        <v>2</v>
      </c>
      <c r="B3" s="3"/>
      <c r="C3" s="8">
        <v>2025.0</v>
      </c>
      <c r="D3" s="8">
        <v>2026.0</v>
      </c>
      <c r="E3" s="9"/>
      <c r="F3" s="10" t="s">
        <v>3</v>
      </c>
      <c r="G3" s="10" t="s">
        <v>4</v>
      </c>
      <c r="H3" s="11"/>
      <c r="I3" s="4"/>
      <c r="J3" s="4"/>
      <c r="K3" s="12" t="s">
        <v>5</v>
      </c>
      <c r="L3" s="13">
        <f>D16</f>
        <v>673867.19</v>
      </c>
      <c r="M3" s="14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6" t="s">
        <v>6</v>
      </c>
      <c r="B4" s="3"/>
      <c r="C4" s="17">
        <f t="shared" ref="C4:C15" si="1">C21+G21+K21+O21+S21+W21</f>
        <v>98847.76</v>
      </c>
      <c r="D4" s="17">
        <f>Janvier!B4</f>
        <v>94401.48</v>
      </c>
      <c r="E4" s="18"/>
      <c r="F4" s="18">
        <f t="shared" ref="F4:F15" si="2">E21+I21+M21+Q21+U21+Y21</f>
        <v>120000</v>
      </c>
      <c r="G4" s="19">
        <f t="shared" ref="G4:G16" si="3">D4/F4</f>
        <v>0.786679</v>
      </c>
      <c r="H4" s="4"/>
      <c r="I4" s="4"/>
      <c r="J4" s="4"/>
      <c r="K4" s="20"/>
      <c r="L4" s="21"/>
      <c r="M4" s="22"/>
      <c r="N4" s="2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24"/>
      <c r="AF4" s="25"/>
      <c r="AG4" s="4"/>
    </row>
    <row r="5">
      <c r="A5" s="16" t="s">
        <v>7</v>
      </c>
      <c r="B5" s="3"/>
      <c r="C5" s="17">
        <f t="shared" si="1"/>
        <v>82049.44</v>
      </c>
      <c r="D5" s="17">
        <f>'Février'!B4</f>
        <v>97111.75</v>
      </c>
      <c r="E5" s="26"/>
      <c r="F5" s="18">
        <f t="shared" si="2"/>
        <v>134000</v>
      </c>
      <c r="G5" s="27">
        <f t="shared" si="3"/>
        <v>0.7247145522</v>
      </c>
      <c r="H5" s="4"/>
      <c r="I5" s="4"/>
      <c r="J5" s="4"/>
      <c r="K5" s="12" t="s">
        <v>8</v>
      </c>
      <c r="L5" s="13">
        <f>E33+I33+M33+Q33+U33+Y33</f>
        <v>1969000</v>
      </c>
      <c r="M5" s="14"/>
      <c r="N5" s="1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28"/>
      <c r="AF5" s="29"/>
      <c r="AG5" s="4"/>
    </row>
    <row r="6">
      <c r="A6" s="16" t="s">
        <v>9</v>
      </c>
      <c r="B6" s="3"/>
      <c r="C6" s="17">
        <f t="shared" si="1"/>
        <v>199158.03</v>
      </c>
      <c r="D6" s="17">
        <f>Mars!B4</f>
        <v>248334.79</v>
      </c>
      <c r="E6" s="26"/>
      <c r="F6" s="18">
        <f t="shared" si="2"/>
        <v>217000</v>
      </c>
      <c r="G6" s="27">
        <f t="shared" si="3"/>
        <v>1.144399954</v>
      </c>
      <c r="H6" s="4"/>
      <c r="I6" s="4"/>
      <c r="J6" s="4"/>
      <c r="K6" s="20"/>
      <c r="L6" s="21"/>
      <c r="M6" s="22"/>
      <c r="N6" s="2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28"/>
      <c r="AF6" s="29"/>
      <c r="AG6" s="4"/>
    </row>
    <row r="7">
      <c r="A7" s="16" t="s">
        <v>10</v>
      </c>
      <c r="B7" s="3"/>
      <c r="C7" s="17">
        <f t="shared" si="1"/>
        <v>259515.69</v>
      </c>
      <c r="D7" s="17">
        <f>Avril!B4</f>
        <v>234019.17</v>
      </c>
      <c r="E7" s="26"/>
      <c r="F7" s="18">
        <f t="shared" si="2"/>
        <v>247000</v>
      </c>
      <c r="G7" s="27">
        <f t="shared" si="3"/>
        <v>0.9474460324</v>
      </c>
      <c r="H7" s="4"/>
      <c r="I7" s="4"/>
      <c r="J7" s="4"/>
      <c r="K7" s="30" t="s">
        <v>4</v>
      </c>
      <c r="L7" s="31">
        <f>L3/L5</f>
        <v>0.3422382885</v>
      </c>
      <c r="M7" s="14"/>
      <c r="N7" s="1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28"/>
      <c r="AF7" s="29"/>
      <c r="AG7" s="4"/>
    </row>
    <row r="8">
      <c r="A8" s="16" t="s">
        <v>11</v>
      </c>
      <c r="B8" s="3"/>
      <c r="C8" s="17">
        <f t="shared" si="1"/>
        <v>176290.36</v>
      </c>
      <c r="D8" s="17">
        <f>Mai!B4</f>
        <v>0</v>
      </c>
      <c r="E8" s="26"/>
      <c r="F8" s="18">
        <f t="shared" si="2"/>
        <v>202000</v>
      </c>
      <c r="G8" s="27">
        <f t="shared" si="3"/>
        <v>0</v>
      </c>
      <c r="H8" s="4"/>
      <c r="I8" s="4"/>
      <c r="J8" s="4"/>
      <c r="K8" s="20"/>
      <c r="L8" s="21"/>
      <c r="M8" s="22"/>
      <c r="N8" s="23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28"/>
      <c r="AF8" s="29"/>
      <c r="AG8" s="4"/>
    </row>
    <row r="9">
      <c r="A9" s="16" t="s">
        <v>12</v>
      </c>
      <c r="B9" s="3"/>
      <c r="C9" s="17">
        <f t="shared" si="1"/>
        <v>102507.96</v>
      </c>
      <c r="D9" s="17">
        <f>Juin!B4</f>
        <v>0</v>
      </c>
      <c r="E9" s="26"/>
      <c r="F9" s="18">
        <f t="shared" si="2"/>
        <v>132000</v>
      </c>
      <c r="G9" s="27">
        <f t="shared" si="3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28"/>
      <c r="AF9" s="29"/>
      <c r="AG9" s="4"/>
    </row>
    <row r="10">
      <c r="A10" s="16" t="s">
        <v>13</v>
      </c>
      <c r="B10" s="3"/>
      <c r="C10" s="17">
        <f t="shared" si="1"/>
        <v>91859.97</v>
      </c>
      <c r="D10" s="17">
        <f>Juillet!B4</f>
        <v>0</v>
      </c>
      <c r="E10" s="26"/>
      <c r="F10" s="18">
        <f t="shared" si="2"/>
        <v>132000</v>
      </c>
      <c r="G10" s="27">
        <f t="shared" si="3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8"/>
      <c r="AF10" s="29"/>
      <c r="AG10" s="4"/>
    </row>
    <row r="11">
      <c r="A11" s="16" t="s">
        <v>14</v>
      </c>
      <c r="B11" s="3"/>
      <c r="C11" s="17">
        <f t="shared" si="1"/>
        <v>280206.57</v>
      </c>
      <c r="D11" s="17">
        <f>'Août'!B4</f>
        <v>0</v>
      </c>
      <c r="E11" s="26"/>
      <c r="F11" s="18">
        <f t="shared" si="2"/>
        <v>277000</v>
      </c>
      <c r="G11" s="27">
        <f t="shared" si="3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28"/>
      <c r="AF11" s="29"/>
      <c r="AG11" s="4"/>
    </row>
    <row r="12">
      <c r="A12" s="16" t="s">
        <v>15</v>
      </c>
      <c r="B12" s="3"/>
      <c r="C12" s="17">
        <f t="shared" si="1"/>
        <v>207712.51</v>
      </c>
      <c r="D12" s="17">
        <f>Septembre!B4</f>
        <v>0</v>
      </c>
      <c r="E12" s="26"/>
      <c r="F12" s="18">
        <f t="shared" si="2"/>
        <v>172000</v>
      </c>
      <c r="G12" s="27">
        <f t="shared" si="3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28"/>
      <c r="AF12" s="29"/>
      <c r="AG12" s="4"/>
    </row>
    <row r="13">
      <c r="A13" s="16" t="s">
        <v>16</v>
      </c>
      <c r="B13" s="3"/>
      <c r="C13" s="17">
        <f t="shared" si="1"/>
        <v>133489.29</v>
      </c>
      <c r="D13" s="17">
        <f>Octobre!B4</f>
        <v>0</v>
      </c>
      <c r="E13" s="26"/>
      <c r="F13" s="18">
        <f t="shared" si="2"/>
        <v>137000</v>
      </c>
      <c r="G13" s="27">
        <f t="shared" si="3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28"/>
      <c r="AF13" s="29"/>
      <c r="AG13" s="4"/>
    </row>
    <row r="14">
      <c r="A14" s="16" t="s">
        <v>17</v>
      </c>
      <c r="B14" s="3"/>
      <c r="C14" s="17">
        <f t="shared" si="1"/>
        <v>84853.3</v>
      </c>
      <c r="D14" s="17">
        <f>Novembre!B4</f>
        <v>0</v>
      </c>
      <c r="E14" s="26"/>
      <c r="F14" s="18">
        <f t="shared" si="2"/>
        <v>112000</v>
      </c>
      <c r="G14" s="27">
        <f t="shared" si="3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8"/>
      <c r="AF14" s="29"/>
      <c r="AG14" s="4"/>
    </row>
    <row r="15">
      <c r="A15" s="16" t="s">
        <v>18</v>
      </c>
      <c r="B15" s="3"/>
      <c r="C15" s="17">
        <f t="shared" si="1"/>
        <v>62694.03</v>
      </c>
      <c r="D15" s="17">
        <f>'Décembre'!B4</f>
        <v>0</v>
      </c>
      <c r="E15" s="26"/>
      <c r="F15" s="18">
        <f t="shared" si="2"/>
        <v>87000</v>
      </c>
      <c r="G15" s="27">
        <f t="shared" si="3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28"/>
      <c r="AF15" s="29"/>
      <c r="AG15" s="4"/>
    </row>
    <row r="16">
      <c r="A16" s="32" t="s">
        <v>1</v>
      </c>
      <c r="B16" s="3"/>
      <c r="C16" s="33">
        <f t="shared" ref="C16:D16" si="4">SUM(C4:C15)</f>
        <v>1779184.91</v>
      </c>
      <c r="D16" s="33">
        <f t="shared" si="4"/>
        <v>673867.19</v>
      </c>
      <c r="E16" s="33"/>
      <c r="F16" s="33">
        <f>SUM(F4:F15)</f>
        <v>1969000</v>
      </c>
      <c r="G16" s="34">
        <f t="shared" si="3"/>
        <v>0.3422382885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28"/>
      <c r="AF16" s="29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35"/>
      <c r="AF17" s="36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37"/>
      <c r="B19" s="38"/>
      <c r="C19" s="39" t="s">
        <v>19</v>
      </c>
      <c r="D19" s="2"/>
      <c r="E19" s="2"/>
      <c r="F19" s="3"/>
      <c r="G19" s="40" t="s">
        <v>20</v>
      </c>
      <c r="H19" s="2"/>
      <c r="I19" s="2"/>
      <c r="J19" s="3"/>
      <c r="K19" s="41" t="s">
        <v>21</v>
      </c>
      <c r="L19" s="2"/>
      <c r="M19" s="2"/>
      <c r="N19" s="3"/>
      <c r="O19" s="42" t="s">
        <v>22</v>
      </c>
      <c r="P19" s="2"/>
      <c r="Q19" s="2"/>
      <c r="R19" s="3"/>
      <c r="S19" s="43" t="s">
        <v>23</v>
      </c>
      <c r="T19" s="2"/>
      <c r="U19" s="2"/>
      <c r="V19" s="3"/>
      <c r="W19" s="44" t="s">
        <v>24</v>
      </c>
      <c r="X19" s="2"/>
      <c r="Y19" s="2"/>
      <c r="Z19" s="3"/>
      <c r="AA19" s="4"/>
      <c r="AB19" s="4"/>
      <c r="AC19" s="4"/>
      <c r="AD19" s="4"/>
      <c r="AE19" s="4"/>
      <c r="AF19" s="4"/>
      <c r="AG19" s="4"/>
    </row>
    <row r="20">
      <c r="A20" s="45" t="s">
        <v>2</v>
      </c>
      <c r="B20" s="23"/>
      <c r="C20" s="8">
        <v>2025.0</v>
      </c>
      <c r="D20" s="8">
        <v>2026.0</v>
      </c>
      <c r="E20" s="8" t="s">
        <v>3</v>
      </c>
      <c r="F20" s="9" t="s">
        <v>4</v>
      </c>
      <c r="G20" s="8">
        <v>2025.0</v>
      </c>
      <c r="H20" s="8">
        <v>2026.0</v>
      </c>
      <c r="I20" s="8" t="s">
        <v>3</v>
      </c>
      <c r="J20" s="9" t="s">
        <v>4</v>
      </c>
      <c r="K20" s="8">
        <v>2025.0</v>
      </c>
      <c r="L20" s="8">
        <v>2026.0</v>
      </c>
      <c r="M20" s="8" t="s">
        <v>3</v>
      </c>
      <c r="N20" s="9" t="s">
        <v>4</v>
      </c>
      <c r="O20" s="8">
        <v>2025.0</v>
      </c>
      <c r="P20" s="8">
        <v>2026.0</v>
      </c>
      <c r="Q20" s="8" t="s">
        <v>3</v>
      </c>
      <c r="R20" s="9" t="s">
        <v>4</v>
      </c>
      <c r="S20" s="8">
        <v>2025.0</v>
      </c>
      <c r="T20" s="8">
        <v>2026.0</v>
      </c>
      <c r="U20" s="8" t="s">
        <v>3</v>
      </c>
      <c r="V20" s="9" t="s">
        <v>4</v>
      </c>
      <c r="W20" s="8">
        <v>2025.0</v>
      </c>
      <c r="X20" s="8">
        <v>2026.0</v>
      </c>
      <c r="Y20" s="8" t="s">
        <v>3</v>
      </c>
      <c r="Z20" s="9" t="s">
        <v>4</v>
      </c>
      <c r="AA20" s="4"/>
      <c r="AB20" s="4"/>
      <c r="AC20" s="4"/>
      <c r="AD20" s="4"/>
      <c r="AE20" s="4"/>
      <c r="AF20" s="4"/>
      <c r="AG20" s="4"/>
    </row>
    <row r="21">
      <c r="A21" s="46" t="s">
        <v>6</v>
      </c>
      <c r="B21" s="23"/>
      <c r="C21" s="47">
        <f>IFERROR(__xludf.DUMMYFUNCTION("IMPORTRANGE(""https://docs.google.com/spreadsheets/d/16VF6zkXYxW4H5z3l7OED8P5u5ev7s_R3zJNj4apmi8M/edit?gid=2000300900#gid=2000300900"",""OBJECTIF!D21:D32"")"),18685.0)</f>
        <v>18685</v>
      </c>
      <c r="D21" s="48">
        <f>Janvier!C4</f>
        <v>8175</v>
      </c>
      <c r="E21" s="49">
        <v>20000.0</v>
      </c>
      <c r="F21" s="50">
        <f t="shared" ref="F21:F33" si="5">D21/E21</f>
        <v>0.40875</v>
      </c>
      <c r="G21" s="47">
        <f>IFERROR(__xludf.DUMMYFUNCTION("IMPORTRANGE(""https://docs.google.com/spreadsheets/d/16VF6zkXYxW4H5z3l7OED8P5u5ev7s_R3zJNj4apmi8M/edit?gid=2000300900#gid=2000300900"",""OBJECTIF!H21:H32"")"),14676.04)</f>
        <v>14676.04</v>
      </c>
      <c r="H21" s="48">
        <f>Janvier!D4</f>
        <v>18876.84</v>
      </c>
      <c r="I21" s="49">
        <v>15000.0</v>
      </c>
      <c r="J21" s="50">
        <f t="shared" ref="J21:J33" si="6">H21/I21</f>
        <v>1.258456</v>
      </c>
      <c r="K21" s="47">
        <f>IFERROR(__xludf.DUMMYFUNCTION("IMPORTRANGE(""https://docs.google.com/spreadsheets/d/16VF6zkXYxW4H5z3l7OED8P5u5ev7s_R3zJNj4apmi8M/edit?gid=2000300900#gid=2000300900"",""OBJECTIF!L21:L32"")"),2303.75)</f>
        <v>2303.75</v>
      </c>
      <c r="L21" s="48">
        <f>Janvier!E4</f>
        <v>18144.02</v>
      </c>
      <c r="M21" s="49">
        <v>8000.0</v>
      </c>
      <c r="N21" s="50">
        <f t="shared" ref="N21:N33" si="7">L21/M21</f>
        <v>2.2680025</v>
      </c>
      <c r="O21" s="47">
        <f>IFERROR(__xludf.DUMMYFUNCTION("IMPORTRANGE(""https://docs.google.com/spreadsheets/d/16VF6zkXYxW4H5z3l7OED8P5u5ev7s_R3zJNj4apmi8M/edit?gid=2000300900#gid=2000300900"",""OBJECTIF!P21:P32"")"),37633.67)</f>
        <v>37633.67</v>
      </c>
      <c r="P21" s="48">
        <f>Janvier!F4</f>
        <v>38285.25</v>
      </c>
      <c r="Q21" s="49">
        <v>50000.0</v>
      </c>
      <c r="R21" s="50">
        <f t="shared" ref="R21:R33" si="8">P21/Q21</f>
        <v>0.765705</v>
      </c>
      <c r="S21" s="47">
        <f>IFERROR(__xludf.DUMMYFUNCTION("IMPORTRANGE(""https://docs.google.com/spreadsheets/d/16VF6zkXYxW4H5z3l7OED8P5u5ev7s_R3zJNj4apmi8M/edit?gid=2000300900#gid=2000300900"",""OBJECTIF!T21:T32"")"),25549.300000000003)</f>
        <v>25549.3</v>
      </c>
      <c r="T21" s="48">
        <f>Janvier!G4</f>
        <v>9325.37</v>
      </c>
      <c r="U21" s="51">
        <v>12000.0</v>
      </c>
      <c r="V21" s="50">
        <f t="shared" ref="V21:V33" si="9">T21/U21</f>
        <v>0.7771141667</v>
      </c>
      <c r="W21" s="47"/>
      <c r="X21" s="48" t="str">
        <f>Janvier!K4</f>
        <v/>
      </c>
      <c r="Y21" s="52">
        <v>15000.0</v>
      </c>
      <c r="Z21" s="50">
        <f t="shared" ref="Z21:Z33" si="10">X21/Y21</f>
        <v>0</v>
      </c>
      <c r="AA21" s="4"/>
      <c r="AB21" s="4"/>
      <c r="AC21" s="4"/>
      <c r="AD21" s="4"/>
      <c r="AE21" s="4"/>
      <c r="AF21" s="4"/>
      <c r="AG21" s="4"/>
    </row>
    <row r="22">
      <c r="A22" s="46" t="s">
        <v>7</v>
      </c>
      <c r="B22" s="23"/>
      <c r="C22" s="48">
        <f>IFERROR(__xludf.DUMMYFUNCTION("""COMPUTED_VALUE"""),22423.82)</f>
        <v>22423.82</v>
      </c>
      <c r="D22" s="48">
        <f>'Février'!C4</f>
        <v>17900</v>
      </c>
      <c r="E22" s="49">
        <v>25000.0</v>
      </c>
      <c r="F22" s="50">
        <f t="shared" si="5"/>
        <v>0.716</v>
      </c>
      <c r="G22" s="48">
        <f>IFERROR(__xludf.DUMMYFUNCTION("""COMPUTED_VALUE"""),18865.190000000002)</f>
        <v>18865.19</v>
      </c>
      <c r="H22" s="48">
        <f>'Février'!D4</f>
        <v>20031.12</v>
      </c>
      <c r="I22" s="49">
        <v>20000.0</v>
      </c>
      <c r="J22" s="50">
        <f t="shared" si="6"/>
        <v>1.001556</v>
      </c>
      <c r="K22" s="48">
        <f>IFERROR(__xludf.DUMMYFUNCTION("""COMPUTED_VALUE"""),11139.43)</f>
        <v>11139.43</v>
      </c>
      <c r="L22" s="48">
        <f>'Février'!E4</f>
        <v>-150</v>
      </c>
      <c r="M22" s="49">
        <v>12000.0</v>
      </c>
      <c r="N22" s="50">
        <f t="shared" si="7"/>
        <v>-0.0125</v>
      </c>
      <c r="O22" s="48">
        <f>IFERROR(__xludf.DUMMYFUNCTION("""COMPUTED_VALUE"""),33058.45)</f>
        <v>33058.45</v>
      </c>
      <c r="P22" s="48">
        <f>'Février'!F4</f>
        <v>49352</v>
      </c>
      <c r="Q22" s="49">
        <v>50000.0</v>
      </c>
      <c r="R22" s="50">
        <f t="shared" si="8"/>
        <v>0.98704</v>
      </c>
      <c r="S22" s="48">
        <f>IFERROR(__xludf.DUMMYFUNCTION("""COMPUTED_VALUE"""),-3437.4500000000003)</f>
        <v>-3437.45</v>
      </c>
      <c r="T22" s="48">
        <f>'Février'!G4</f>
        <v>9743.63</v>
      </c>
      <c r="U22" s="51">
        <v>12000.0</v>
      </c>
      <c r="V22" s="50">
        <f t="shared" si="9"/>
        <v>0.8119691667</v>
      </c>
      <c r="W22" s="48"/>
      <c r="X22" s="48" t="str">
        <f>'Février'!K4</f>
        <v/>
      </c>
      <c r="Y22" s="52">
        <v>15000.0</v>
      </c>
      <c r="Z22" s="50">
        <f t="shared" si="10"/>
        <v>0</v>
      </c>
      <c r="AA22" s="4"/>
      <c r="AB22" s="4"/>
      <c r="AC22" s="4"/>
      <c r="AD22" s="4"/>
      <c r="AE22" s="4"/>
      <c r="AF22" s="4"/>
      <c r="AG22" s="4"/>
    </row>
    <row r="23">
      <c r="A23" s="46" t="s">
        <v>9</v>
      </c>
      <c r="B23" s="23"/>
      <c r="C23" s="48">
        <f>IFERROR(__xludf.DUMMYFUNCTION("""COMPUTED_VALUE"""),107240.0)</f>
        <v>107240</v>
      </c>
      <c r="D23" s="48">
        <f>Mars!C4</f>
        <v>110803</v>
      </c>
      <c r="E23" s="49">
        <v>105000.0</v>
      </c>
      <c r="F23" s="50">
        <f t="shared" si="5"/>
        <v>1.055266667</v>
      </c>
      <c r="G23" s="48">
        <f>IFERROR(__xludf.DUMMYFUNCTION("""COMPUTED_VALUE"""),17863.21)</f>
        <v>17863.21</v>
      </c>
      <c r="H23" s="48">
        <f>Mars!D4</f>
        <v>63069.09</v>
      </c>
      <c r="I23" s="49">
        <v>20000.0</v>
      </c>
      <c r="J23" s="50">
        <f t="shared" si="6"/>
        <v>3.1534545</v>
      </c>
      <c r="K23" s="48">
        <f>IFERROR(__xludf.DUMMYFUNCTION("""COMPUTED_VALUE"""),13639.25)</f>
        <v>13639.25</v>
      </c>
      <c r="L23" s="48">
        <f>Mars!E4</f>
        <v>26216.32</v>
      </c>
      <c r="M23" s="49">
        <v>15000.0</v>
      </c>
      <c r="N23" s="50">
        <f t="shared" si="7"/>
        <v>1.747754667</v>
      </c>
      <c r="O23" s="48">
        <f>IFERROR(__xludf.DUMMYFUNCTION("""COMPUTED_VALUE"""),48368.369999999995)</f>
        <v>48368.37</v>
      </c>
      <c r="P23" s="48">
        <f>Mars!F4</f>
        <v>50511.03</v>
      </c>
      <c r="Q23" s="49">
        <v>50000.0</v>
      </c>
      <c r="R23" s="50">
        <f t="shared" si="8"/>
        <v>1.0102206</v>
      </c>
      <c r="S23" s="48">
        <f>IFERROR(__xludf.DUMMYFUNCTION("""COMPUTED_VALUE"""),12047.2)</f>
        <v>12047.2</v>
      </c>
      <c r="T23" s="48">
        <f>Mars!G4</f>
        <v>8725.35</v>
      </c>
      <c r="U23" s="51">
        <v>12000.0</v>
      </c>
      <c r="V23" s="50">
        <f t="shared" si="9"/>
        <v>0.7271125</v>
      </c>
      <c r="W23" s="48"/>
      <c r="X23" s="48" t="str">
        <f>Mars!K4</f>
        <v/>
      </c>
      <c r="Y23" s="52">
        <v>15000.0</v>
      </c>
      <c r="Z23" s="50">
        <f t="shared" si="10"/>
        <v>0</v>
      </c>
      <c r="AA23" s="4"/>
      <c r="AB23" s="4"/>
      <c r="AC23" s="4"/>
      <c r="AD23" s="4"/>
      <c r="AE23" s="4"/>
      <c r="AF23" s="4"/>
      <c r="AG23" s="4"/>
    </row>
    <row r="24">
      <c r="A24" s="46" t="s">
        <v>10</v>
      </c>
      <c r="B24" s="23"/>
      <c r="C24" s="48">
        <f>IFERROR(__xludf.DUMMYFUNCTION("""COMPUTED_VALUE"""),143314.0)</f>
        <v>143314</v>
      </c>
      <c r="D24" s="48">
        <f>Avril!C4</f>
        <v>142383</v>
      </c>
      <c r="E24" s="49">
        <v>135000.0</v>
      </c>
      <c r="F24" s="50">
        <f t="shared" si="5"/>
        <v>1.054688889</v>
      </c>
      <c r="G24" s="48">
        <f>IFERROR(__xludf.DUMMYFUNCTION("""COMPUTED_VALUE"""),25453.170000000002)</f>
        <v>25453.17</v>
      </c>
      <c r="H24" s="48">
        <f>Avril!D4</f>
        <v>24885.92</v>
      </c>
      <c r="I24" s="49">
        <v>25000.0</v>
      </c>
      <c r="J24" s="50">
        <f t="shared" si="6"/>
        <v>0.9954368</v>
      </c>
      <c r="K24" s="48">
        <f>IFERROR(__xludf.DUMMYFUNCTION("""COMPUTED_VALUE"""),4648.45)</f>
        <v>4648.45</v>
      </c>
      <c r="L24" s="48">
        <f>Avril!E4</f>
        <v>7136.8</v>
      </c>
      <c r="M24" s="49">
        <v>10000.0</v>
      </c>
      <c r="N24" s="50">
        <f t="shared" si="7"/>
        <v>0.71368</v>
      </c>
      <c r="O24" s="48">
        <f>IFERROR(__xludf.DUMMYFUNCTION("""COMPUTED_VALUE"""),76710.23)</f>
        <v>76710.23</v>
      </c>
      <c r="P24" s="48">
        <f>Avril!F4</f>
        <v>5613.75</v>
      </c>
      <c r="Q24" s="49">
        <v>50000.0</v>
      </c>
      <c r="R24" s="50">
        <f t="shared" si="8"/>
        <v>0.112275</v>
      </c>
      <c r="S24" s="48">
        <f>IFERROR(__xludf.DUMMYFUNCTION("""COMPUTED_VALUE"""),9389.84)</f>
        <v>9389.84</v>
      </c>
      <c r="T24" s="48">
        <f>Avril!G4</f>
        <v>15842.2</v>
      </c>
      <c r="U24" s="51">
        <v>12000.0</v>
      </c>
      <c r="V24" s="50">
        <f t="shared" si="9"/>
        <v>1.320183333</v>
      </c>
      <c r="W24" s="48"/>
      <c r="X24" s="48" t="str">
        <f>Avril!K4</f>
        <v/>
      </c>
      <c r="Y24" s="52">
        <v>15000.0</v>
      </c>
      <c r="Z24" s="50">
        <f t="shared" si="10"/>
        <v>0</v>
      </c>
      <c r="AA24" s="4"/>
      <c r="AB24" s="4"/>
      <c r="AC24" s="4"/>
      <c r="AD24" s="4"/>
      <c r="AE24" s="4"/>
      <c r="AF24" s="4"/>
      <c r="AG24" s="4"/>
    </row>
    <row r="25">
      <c r="A25" s="46" t="s">
        <v>11</v>
      </c>
      <c r="B25" s="23"/>
      <c r="C25" s="48">
        <f>IFERROR(__xludf.DUMMYFUNCTION("""COMPUTED_VALUE"""),96375.75)</f>
        <v>96375.75</v>
      </c>
      <c r="D25" s="48">
        <f>Mai!C4</f>
        <v>0</v>
      </c>
      <c r="E25" s="49">
        <v>95000.0</v>
      </c>
      <c r="F25" s="50">
        <f t="shared" si="5"/>
        <v>0</v>
      </c>
      <c r="G25" s="48">
        <f>IFERROR(__xludf.DUMMYFUNCTION("""COMPUTED_VALUE"""),29986.92)</f>
        <v>29986.92</v>
      </c>
      <c r="H25" s="48">
        <f>Mai!D4</f>
        <v>0</v>
      </c>
      <c r="I25" s="49">
        <v>30000.0</v>
      </c>
      <c r="J25" s="50">
        <f t="shared" si="6"/>
        <v>0</v>
      </c>
      <c r="K25" s="48">
        <f>IFERROR(__xludf.DUMMYFUNCTION("""COMPUTED_VALUE"""),6428.52)</f>
        <v>6428.52</v>
      </c>
      <c r="L25" s="48">
        <f>Mai!E4</f>
        <v>0</v>
      </c>
      <c r="M25" s="49">
        <v>10000.0</v>
      </c>
      <c r="N25" s="50">
        <f t="shared" si="7"/>
        <v>0</v>
      </c>
      <c r="O25" s="48">
        <f>IFERROR(__xludf.DUMMYFUNCTION("""COMPUTED_VALUE"""),37575.0)</f>
        <v>37575</v>
      </c>
      <c r="P25" s="48">
        <f>Mai!F4</f>
        <v>0</v>
      </c>
      <c r="Q25" s="49">
        <v>50000.0</v>
      </c>
      <c r="R25" s="50">
        <f t="shared" si="8"/>
        <v>0</v>
      </c>
      <c r="S25" s="48">
        <f>IFERROR(__xludf.DUMMYFUNCTION("""COMPUTED_VALUE"""),5924.17)</f>
        <v>5924.17</v>
      </c>
      <c r="T25" s="48">
        <f>Mai!G4</f>
        <v>0</v>
      </c>
      <c r="U25" s="51">
        <v>12000.0</v>
      </c>
      <c r="V25" s="50">
        <f t="shared" si="9"/>
        <v>0</v>
      </c>
      <c r="W25" s="48"/>
      <c r="X25" s="48" t="str">
        <f>Mai!K4</f>
        <v/>
      </c>
      <c r="Y25" s="53">
        <v>5000.0</v>
      </c>
      <c r="Z25" s="50">
        <f t="shared" si="10"/>
        <v>0</v>
      </c>
      <c r="AA25" s="4"/>
      <c r="AB25" s="4"/>
      <c r="AC25" s="4"/>
      <c r="AD25" s="4"/>
      <c r="AE25" s="4"/>
      <c r="AF25" s="4"/>
      <c r="AG25" s="4"/>
    </row>
    <row r="26">
      <c r="A26" s="46" t="s">
        <v>12</v>
      </c>
      <c r="B26" s="23"/>
      <c r="C26" s="48">
        <f>IFERROR(__xludf.DUMMYFUNCTION("""COMPUTED_VALUE"""),30973.5)</f>
        <v>30973.5</v>
      </c>
      <c r="D26" s="48">
        <f>Juin!C4</f>
        <v>0</v>
      </c>
      <c r="E26" s="49">
        <v>40000.0</v>
      </c>
      <c r="F26" s="50">
        <f t="shared" si="5"/>
        <v>0</v>
      </c>
      <c r="G26" s="48">
        <f>IFERROR(__xludf.DUMMYFUNCTION("""COMPUTED_VALUE"""),12639.11)</f>
        <v>12639.11</v>
      </c>
      <c r="H26" s="48">
        <f>Juin!D4</f>
        <v>0</v>
      </c>
      <c r="I26" s="49">
        <v>15000.0</v>
      </c>
      <c r="J26" s="50">
        <f t="shared" si="6"/>
        <v>0</v>
      </c>
      <c r="K26" s="48">
        <f>IFERROR(__xludf.DUMMYFUNCTION("""COMPUTED_VALUE"""),4365.76)</f>
        <v>4365.76</v>
      </c>
      <c r="L26" s="48">
        <f>Juin!E4</f>
        <v>0</v>
      </c>
      <c r="M26" s="49">
        <v>10000.0</v>
      </c>
      <c r="N26" s="50">
        <f t="shared" si="7"/>
        <v>0</v>
      </c>
      <c r="O26" s="48">
        <f>IFERROR(__xludf.DUMMYFUNCTION("""COMPUTED_VALUE"""),47214.59)</f>
        <v>47214.59</v>
      </c>
      <c r="P26" s="48">
        <f>Juin!F4</f>
        <v>0</v>
      </c>
      <c r="Q26" s="49">
        <v>50000.0</v>
      </c>
      <c r="R26" s="50">
        <f t="shared" si="8"/>
        <v>0</v>
      </c>
      <c r="S26" s="48">
        <f>IFERROR(__xludf.DUMMYFUNCTION("""COMPUTED_VALUE"""),7315.0)</f>
        <v>7315</v>
      </c>
      <c r="T26" s="48">
        <f>Juin!G4</f>
        <v>0</v>
      </c>
      <c r="U26" s="51">
        <v>12000.0</v>
      </c>
      <c r="V26" s="50">
        <f t="shared" si="9"/>
        <v>0</v>
      </c>
      <c r="W26" s="48"/>
      <c r="X26" s="48" t="str">
        <f>Juin!K4</f>
        <v/>
      </c>
      <c r="Y26" s="53">
        <v>5000.0</v>
      </c>
      <c r="Z26" s="50">
        <f t="shared" si="10"/>
        <v>0</v>
      </c>
      <c r="AA26" s="4"/>
      <c r="AB26" s="4"/>
      <c r="AC26" s="4"/>
      <c r="AD26" s="4"/>
      <c r="AE26" s="4"/>
      <c r="AF26" s="4"/>
      <c r="AG26" s="4"/>
    </row>
    <row r="27">
      <c r="A27" s="46" t="s">
        <v>13</v>
      </c>
      <c r="B27" s="23"/>
      <c r="C27" s="48">
        <f>IFERROR(__xludf.DUMMYFUNCTION("""COMPUTED_VALUE"""),13389.75)</f>
        <v>13389.75</v>
      </c>
      <c r="D27" s="48">
        <f>Juillet!C4</f>
        <v>0</v>
      </c>
      <c r="E27" s="49">
        <v>20000.0</v>
      </c>
      <c r="F27" s="50">
        <f t="shared" si="5"/>
        <v>0</v>
      </c>
      <c r="G27" s="48">
        <f>IFERROR(__xludf.DUMMYFUNCTION("""COMPUTED_VALUE"""),35314.26000000001)</f>
        <v>35314.26</v>
      </c>
      <c r="H27" s="48">
        <f>Juillet!D4</f>
        <v>0</v>
      </c>
      <c r="I27" s="49">
        <v>35000.0</v>
      </c>
      <c r="J27" s="50">
        <f t="shared" si="6"/>
        <v>0</v>
      </c>
      <c r="K27" s="48">
        <f>IFERROR(__xludf.DUMMYFUNCTION("""COMPUTED_VALUE"""),1081.38)</f>
        <v>1081.38</v>
      </c>
      <c r="L27" s="48">
        <f>Juillet!E4</f>
        <v>0</v>
      </c>
      <c r="M27" s="49">
        <v>10000.0</v>
      </c>
      <c r="N27" s="50">
        <f t="shared" si="7"/>
        <v>0</v>
      </c>
      <c r="O27" s="48">
        <f>IFERROR(__xludf.DUMMYFUNCTION("""COMPUTED_VALUE"""),25564.989999999998)</f>
        <v>25564.99</v>
      </c>
      <c r="P27" s="48">
        <f>Juillet!F4</f>
        <v>0</v>
      </c>
      <c r="Q27" s="49">
        <v>50000.0</v>
      </c>
      <c r="R27" s="50">
        <f t="shared" si="8"/>
        <v>0</v>
      </c>
      <c r="S27" s="48">
        <f>IFERROR(__xludf.DUMMYFUNCTION("""COMPUTED_VALUE"""),16509.59)</f>
        <v>16509.59</v>
      </c>
      <c r="T27" s="48">
        <f>Juillet!G4</f>
        <v>0</v>
      </c>
      <c r="U27" s="51">
        <v>12000.0</v>
      </c>
      <c r="V27" s="50">
        <f t="shared" si="9"/>
        <v>0</v>
      </c>
      <c r="W27" s="48"/>
      <c r="X27" s="48" t="str">
        <f>Juillet!K4</f>
        <v/>
      </c>
      <c r="Y27" s="53">
        <v>5000.0</v>
      </c>
      <c r="Z27" s="50">
        <f t="shared" si="10"/>
        <v>0</v>
      </c>
      <c r="AA27" s="4"/>
      <c r="AB27" s="4"/>
      <c r="AC27" s="4"/>
      <c r="AD27" s="4"/>
      <c r="AE27" s="4"/>
      <c r="AF27" s="4"/>
      <c r="AG27" s="4"/>
    </row>
    <row r="28">
      <c r="A28" s="46" t="s">
        <v>14</v>
      </c>
      <c r="B28" s="23"/>
      <c r="C28" s="48">
        <f>IFERROR(__xludf.DUMMYFUNCTION("""COMPUTED_VALUE"""),193975.39)</f>
        <v>193975.39</v>
      </c>
      <c r="D28" s="48">
        <f>'Août'!C4</f>
        <v>0</v>
      </c>
      <c r="E28" s="49">
        <v>175000.0</v>
      </c>
      <c r="F28" s="50">
        <f t="shared" si="5"/>
        <v>0</v>
      </c>
      <c r="G28" s="48">
        <f>IFERROR(__xludf.DUMMYFUNCTION("""COMPUTED_VALUE"""),20519.52)</f>
        <v>20519.52</v>
      </c>
      <c r="H28" s="48">
        <f>'Août'!D4</f>
        <v>0</v>
      </c>
      <c r="I28" s="49">
        <v>20000.0</v>
      </c>
      <c r="J28" s="50">
        <f t="shared" si="6"/>
        <v>0</v>
      </c>
      <c r="K28" s="48">
        <f>IFERROR(__xludf.DUMMYFUNCTION("""COMPUTED_VALUE"""),13498.94)</f>
        <v>13498.94</v>
      </c>
      <c r="L28" s="48">
        <f>'Août'!E4</f>
        <v>0</v>
      </c>
      <c r="M28" s="49">
        <v>15000.0</v>
      </c>
      <c r="N28" s="50">
        <f t="shared" si="7"/>
        <v>0</v>
      </c>
      <c r="O28" s="48">
        <f>IFERROR(__xludf.DUMMYFUNCTION("""COMPUTED_VALUE"""),41666.57)</f>
        <v>41666.57</v>
      </c>
      <c r="P28" s="48">
        <f>'Août'!F4</f>
        <v>0</v>
      </c>
      <c r="Q28" s="49">
        <v>50000.0</v>
      </c>
      <c r="R28" s="50">
        <f t="shared" si="8"/>
        <v>0</v>
      </c>
      <c r="S28" s="48">
        <f>IFERROR(__xludf.DUMMYFUNCTION("""COMPUTED_VALUE"""),10546.15)</f>
        <v>10546.15</v>
      </c>
      <c r="T28" s="48">
        <f>'Août'!G4</f>
        <v>0</v>
      </c>
      <c r="U28" s="51">
        <v>12000.0</v>
      </c>
      <c r="V28" s="50">
        <f t="shared" si="9"/>
        <v>0</v>
      </c>
      <c r="W28" s="48"/>
      <c r="X28" s="48" t="str">
        <f>'Août'!K4</f>
        <v/>
      </c>
      <c r="Y28" s="53">
        <v>5000.0</v>
      </c>
      <c r="Z28" s="50">
        <f t="shared" si="10"/>
        <v>0</v>
      </c>
      <c r="AA28" s="4"/>
      <c r="AB28" s="4"/>
      <c r="AC28" s="4"/>
      <c r="AD28" s="4"/>
      <c r="AE28" s="4"/>
      <c r="AF28" s="4"/>
      <c r="AG28" s="4"/>
    </row>
    <row r="29">
      <c r="A29" s="46" t="s">
        <v>15</v>
      </c>
      <c r="B29" s="23"/>
      <c r="C29" s="48">
        <f>IFERROR(__xludf.DUMMYFUNCTION("""COMPUTED_VALUE"""),53811.759999999995)</f>
        <v>53811.76</v>
      </c>
      <c r="D29" s="48">
        <f>Septembre!C4</f>
        <v>0</v>
      </c>
      <c r="E29" s="49">
        <v>50000.0</v>
      </c>
      <c r="F29" s="50">
        <f t="shared" si="5"/>
        <v>0</v>
      </c>
      <c r="G29" s="48">
        <f>IFERROR(__xludf.DUMMYFUNCTION("""COMPUTED_VALUE"""),63361.270000000004)</f>
        <v>63361.27</v>
      </c>
      <c r="H29" s="48">
        <f>Septembre!D4</f>
        <v>0</v>
      </c>
      <c r="I29" s="49">
        <v>45000.0</v>
      </c>
      <c r="J29" s="50">
        <f t="shared" si="6"/>
        <v>0</v>
      </c>
      <c r="K29" s="48">
        <f>IFERROR(__xludf.DUMMYFUNCTION("""COMPUTED_VALUE"""),8005.530000000001)</f>
        <v>8005.53</v>
      </c>
      <c r="L29" s="48">
        <f>Septembre!E4</f>
        <v>0</v>
      </c>
      <c r="M29" s="49">
        <v>10000.0</v>
      </c>
      <c r="N29" s="50">
        <f t="shared" si="7"/>
        <v>0</v>
      </c>
      <c r="O29" s="48">
        <f>IFERROR(__xludf.DUMMYFUNCTION("""COMPUTED_VALUE"""),65846.45)</f>
        <v>65846.45</v>
      </c>
      <c r="P29" s="48">
        <f>Septembre!F4</f>
        <v>0</v>
      </c>
      <c r="Q29" s="49">
        <v>50000.0</v>
      </c>
      <c r="R29" s="50">
        <f t="shared" si="8"/>
        <v>0</v>
      </c>
      <c r="S29" s="48">
        <f>IFERROR(__xludf.DUMMYFUNCTION("""COMPUTED_VALUE"""),16687.5)</f>
        <v>16687.5</v>
      </c>
      <c r="T29" s="48">
        <f>Septembre!G4</f>
        <v>0</v>
      </c>
      <c r="U29" s="51">
        <v>12000.0</v>
      </c>
      <c r="V29" s="50">
        <f t="shared" si="9"/>
        <v>0</v>
      </c>
      <c r="W29" s="48"/>
      <c r="X29" s="48" t="str">
        <f>Septembre!K4</f>
        <v/>
      </c>
      <c r="Y29" s="53">
        <v>5000.0</v>
      </c>
      <c r="Z29" s="50">
        <f t="shared" si="10"/>
        <v>0</v>
      </c>
      <c r="AA29" s="4"/>
      <c r="AB29" s="4"/>
      <c r="AC29" s="4"/>
      <c r="AD29" s="4"/>
      <c r="AE29" s="4"/>
      <c r="AF29" s="4"/>
      <c r="AG29" s="4"/>
    </row>
    <row r="30">
      <c r="A30" s="46" t="s">
        <v>16</v>
      </c>
      <c r="B30" s="23"/>
      <c r="C30" s="48">
        <f>IFERROR(__xludf.DUMMYFUNCTION("""COMPUTED_VALUE"""),10146.0)</f>
        <v>10146</v>
      </c>
      <c r="D30" s="48">
        <f>Octobre!C4</f>
        <v>0</v>
      </c>
      <c r="E30" s="49">
        <v>20000.0</v>
      </c>
      <c r="F30" s="50">
        <f t="shared" si="5"/>
        <v>0</v>
      </c>
      <c r="G30" s="48">
        <f>IFERROR(__xludf.DUMMYFUNCTION("""COMPUTED_VALUE"""),35890.07)</f>
        <v>35890.07</v>
      </c>
      <c r="H30" s="48">
        <f>Octobre!D4</f>
        <v>0</v>
      </c>
      <c r="I30" s="49">
        <v>40000.0</v>
      </c>
      <c r="J30" s="50">
        <f t="shared" si="6"/>
        <v>0</v>
      </c>
      <c r="K30" s="48">
        <f>IFERROR(__xludf.DUMMYFUNCTION("""COMPUTED_VALUE"""),5550.0)</f>
        <v>5550</v>
      </c>
      <c r="L30" s="48">
        <f>Octobre!E4</f>
        <v>0</v>
      </c>
      <c r="M30" s="49">
        <v>10000.0</v>
      </c>
      <c r="N30" s="50">
        <f t="shared" si="7"/>
        <v>0</v>
      </c>
      <c r="O30" s="48">
        <f>IFERROR(__xludf.DUMMYFUNCTION("""COMPUTED_VALUE"""),64668.600000000006)</f>
        <v>64668.6</v>
      </c>
      <c r="P30" s="48">
        <f>Octobre!F4</f>
        <v>0</v>
      </c>
      <c r="Q30" s="49">
        <v>50000.0</v>
      </c>
      <c r="R30" s="50">
        <f t="shared" si="8"/>
        <v>0</v>
      </c>
      <c r="S30" s="48">
        <f>IFERROR(__xludf.DUMMYFUNCTION("""COMPUTED_VALUE"""),17234.619999999995)</f>
        <v>17234.62</v>
      </c>
      <c r="T30" s="48">
        <f>Octobre!G4</f>
        <v>0</v>
      </c>
      <c r="U30" s="51">
        <v>12000.0</v>
      </c>
      <c r="V30" s="50">
        <f t="shared" si="9"/>
        <v>0</v>
      </c>
      <c r="W30" s="48"/>
      <c r="X30" s="48" t="str">
        <f>Octobre!K4</f>
        <v/>
      </c>
      <c r="Y30" s="53">
        <v>5000.0</v>
      </c>
      <c r="Z30" s="50">
        <f t="shared" si="10"/>
        <v>0</v>
      </c>
      <c r="AA30" s="4"/>
      <c r="AB30" s="4"/>
      <c r="AC30" s="4"/>
      <c r="AD30" s="4"/>
      <c r="AE30" s="4"/>
      <c r="AF30" s="4"/>
      <c r="AG30" s="4"/>
    </row>
    <row r="31">
      <c r="A31" s="46" t="s">
        <v>17</v>
      </c>
      <c r="B31" s="23"/>
      <c r="C31" s="48">
        <f>IFERROR(__xludf.DUMMYFUNCTION("""COMPUTED_VALUE"""),-995.0)</f>
        <v>-995</v>
      </c>
      <c r="D31" s="48">
        <f>Novembre!C4</f>
        <v>0</v>
      </c>
      <c r="E31" s="49">
        <v>5000.0</v>
      </c>
      <c r="F31" s="50">
        <f t="shared" si="5"/>
        <v>0</v>
      </c>
      <c r="G31" s="48">
        <f>IFERROR(__xludf.DUMMYFUNCTION("""COMPUTED_VALUE"""),19278.520000000004)</f>
        <v>19278.52</v>
      </c>
      <c r="H31" s="48">
        <f>Novembre!D4</f>
        <v>0</v>
      </c>
      <c r="I31" s="49">
        <v>20000.0</v>
      </c>
      <c r="J31" s="50">
        <f t="shared" si="6"/>
        <v>0</v>
      </c>
      <c r="K31" s="48">
        <f>IFERROR(__xludf.DUMMYFUNCTION("""COMPUTED_VALUE"""),19988.9)</f>
        <v>19988.9</v>
      </c>
      <c r="L31" s="48">
        <f>Novembre!E4</f>
        <v>0</v>
      </c>
      <c r="M31" s="49">
        <v>20000.0</v>
      </c>
      <c r="N31" s="50">
        <f t="shared" si="7"/>
        <v>0</v>
      </c>
      <c r="O31" s="48">
        <f>IFERROR(__xludf.DUMMYFUNCTION("""COMPUTED_VALUE"""),27185.25)</f>
        <v>27185.25</v>
      </c>
      <c r="P31" s="48">
        <f>Novembre!F4</f>
        <v>0</v>
      </c>
      <c r="Q31" s="49">
        <v>50000.0</v>
      </c>
      <c r="R31" s="50">
        <f t="shared" si="8"/>
        <v>0</v>
      </c>
      <c r="S31" s="48">
        <f>IFERROR(__xludf.DUMMYFUNCTION("""COMPUTED_VALUE"""),19395.63)</f>
        <v>19395.63</v>
      </c>
      <c r="T31" s="48">
        <f>Novembre!G4</f>
        <v>0</v>
      </c>
      <c r="U31" s="51">
        <v>12000.0</v>
      </c>
      <c r="V31" s="50">
        <f t="shared" si="9"/>
        <v>0</v>
      </c>
      <c r="W31" s="48"/>
      <c r="X31" s="48" t="str">
        <f>Novembre!K4</f>
        <v/>
      </c>
      <c r="Y31" s="53">
        <v>5000.0</v>
      </c>
      <c r="Z31" s="50">
        <f t="shared" si="10"/>
        <v>0</v>
      </c>
      <c r="AA31" s="4"/>
      <c r="AB31" s="4"/>
      <c r="AC31" s="4"/>
      <c r="AD31" s="4"/>
      <c r="AE31" s="4"/>
      <c r="AF31" s="4"/>
      <c r="AG31" s="4"/>
    </row>
    <row r="32">
      <c r="A32" s="46" t="s">
        <v>18</v>
      </c>
      <c r="B32" s="23"/>
      <c r="C32" s="48">
        <f>IFERROR(__xludf.DUMMYFUNCTION("""COMPUTED_VALUE"""),2137.75)</f>
        <v>2137.75</v>
      </c>
      <c r="D32" s="48">
        <f>'Décembre'!C4</f>
        <v>0</v>
      </c>
      <c r="E32" s="49">
        <v>5000.0</v>
      </c>
      <c r="F32" s="50">
        <f t="shared" si="5"/>
        <v>0</v>
      </c>
      <c r="G32" s="48">
        <f>IFERROR(__xludf.DUMMYFUNCTION("""COMPUTED_VALUE"""),-112.42999999999996)</f>
        <v>-112.43</v>
      </c>
      <c r="H32" s="48">
        <f>'Décembre'!D4</f>
        <v>0</v>
      </c>
      <c r="I32" s="49">
        <v>15000.0</v>
      </c>
      <c r="J32" s="50">
        <f t="shared" si="6"/>
        <v>0</v>
      </c>
      <c r="K32" s="48">
        <f>IFERROR(__xludf.DUMMYFUNCTION("""COMPUTED_VALUE"""),17283.81)</f>
        <v>17283.81</v>
      </c>
      <c r="L32" s="48">
        <f>'Décembre'!E4</f>
        <v>0</v>
      </c>
      <c r="M32" s="49">
        <v>20000.0</v>
      </c>
      <c r="N32" s="50">
        <f t="shared" si="7"/>
        <v>0</v>
      </c>
      <c r="O32" s="48">
        <f>IFERROR(__xludf.DUMMYFUNCTION("""COMPUTED_VALUE"""),28350.25)</f>
        <v>28350.25</v>
      </c>
      <c r="P32" s="48">
        <f>'Décembre'!F4</f>
        <v>0</v>
      </c>
      <c r="Q32" s="49">
        <v>30000.0</v>
      </c>
      <c r="R32" s="50">
        <f t="shared" si="8"/>
        <v>0</v>
      </c>
      <c r="S32" s="48">
        <f>IFERROR(__xludf.DUMMYFUNCTION("""COMPUTED_VALUE"""),15034.65)</f>
        <v>15034.65</v>
      </c>
      <c r="T32" s="48">
        <f>'Décembre'!G4</f>
        <v>0</v>
      </c>
      <c r="U32" s="51">
        <v>12000.0</v>
      </c>
      <c r="V32" s="50">
        <f t="shared" si="9"/>
        <v>0</v>
      </c>
      <c r="W32" s="48"/>
      <c r="X32" s="48" t="str">
        <f>'Décembre'!K4</f>
        <v/>
      </c>
      <c r="Y32" s="53">
        <v>5000.0</v>
      </c>
      <c r="Z32" s="50">
        <f t="shared" si="10"/>
        <v>0</v>
      </c>
      <c r="AA32" s="4"/>
      <c r="AB32" s="4"/>
      <c r="AC32" s="4"/>
      <c r="AD32" s="4"/>
      <c r="AE32" s="4"/>
      <c r="AF32" s="4"/>
      <c r="AG32" s="4"/>
    </row>
    <row r="33">
      <c r="A33" s="54" t="s">
        <v>1</v>
      </c>
      <c r="B33" s="23"/>
      <c r="C33" s="55">
        <f t="shared" ref="C33:E33" si="11">SUM(C21:C32)</f>
        <v>691477.72</v>
      </c>
      <c r="D33" s="55">
        <f t="shared" si="11"/>
        <v>279261</v>
      </c>
      <c r="E33" s="55">
        <f t="shared" si="11"/>
        <v>695000</v>
      </c>
      <c r="F33" s="56">
        <f t="shared" si="5"/>
        <v>0.4018143885</v>
      </c>
      <c r="G33" s="55">
        <f t="shared" ref="G33:I33" si="12">SUM(G21:G32)</f>
        <v>293734.85</v>
      </c>
      <c r="H33" s="55">
        <f t="shared" si="12"/>
        <v>126862.97</v>
      </c>
      <c r="I33" s="55">
        <f t="shared" si="12"/>
        <v>300000</v>
      </c>
      <c r="J33" s="56">
        <f t="shared" si="6"/>
        <v>0.4228765667</v>
      </c>
      <c r="K33" s="55">
        <f t="shared" ref="K33:M33" si="13">SUM(K21:K32)</f>
        <v>107933.72</v>
      </c>
      <c r="L33" s="55">
        <f t="shared" si="13"/>
        <v>51347.14</v>
      </c>
      <c r="M33" s="55">
        <f t="shared" si="13"/>
        <v>150000</v>
      </c>
      <c r="N33" s="56">
        <f t="shared" si="7"/>
        <v>0.3423142667</v>
      </c>
      <c r="O33" s="55">
        <f t="shared" ref="O33:Q33" si="14">SUM(O21:O32)</f>
        <v>533842.42</v>
      </c>
      <c r="P33" s="55">
        <f t="shared" si="14"/>
        <v>143762.03</v>
      </c>
      <c r="Q33" s="55">
        <f t="shared" si="14"/>
        <v>580000</v>
      </c>
      <c r="R33" s="56">
        <f t="shared" si="8"/>
        <v>0.247865569</v>
      </c>
      <c r="S33" s="55">
        <f t="shared" ref="S33:U33" si="15">SUM(S21:S32)</f>
        <v>152196.2</v>
      </c>
      <c r="T33" s="55">
        <f t="shared" si="15"/>
        <v>43636.55</v>
      </c>
      <c r="U33" s="55">
        <f t="shared" si="15"/>
        <v>144000</v>
      </c>
      <c r="V33" s="56">
        <f t="shared" si="9"/>
        <v>0.3030315972</v>
      </c>
      <c r="W33" s="55">
        <f t="shared" ref="W33:Y33" si="16">SUM(W21:W32)</f>
        <v>0</v>
      </c>
      <c r="X33" s="55">
        <f t="shared" si="16"/>
        <v>0</v>
      </c>
      <c r="Y33" s="55">
        <f t="shared" si="16"/>
        <v>100000</v>
      </c>
      <c r="Z33" s="56">
        <f t="shared" si="10"/>
        <v>0</v>
      </c>
      <c r="AA33" s="57"/>
      <c r="AB33" s="57"/>
      <c r="AC33" s="57"/>
      <c r="AD33" s="57"/>
      <c r="AE33" s="57"/>
      <c r="AF33" s="57"/>
      <c r="AG33" s="57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11"/>
      <c r="F36" s="58"/>
      <c r="G36" s="59"/>
      <c r="H36" s="5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60"/>
      <c r="F37" s="58"/>
      <c r="G37" s="59"/>
      <c r="H37" s="5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60"/>
      <c r="F38" s="58"/>
      <c r="G38" s="59"/>
      <c r="H38" s="5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4"/>
      <c r="C39" s="4"/>
      <c r="D39" s="4"/>
      <c r="E39" s="60"/>
      <c r="F39" s="58"/>
      <c r="G39" s="59"/>
      <c r="H39" s="5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60"/>
      <c r="F40" s="58"/>
      <c r="G40" s="59"/>
      <c r="H40" s="5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60"/>
      <c r="F41" s="58"/>
      <c r="G41" s="59"/>
      <c r="H41" s="5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60"/>
      <c r="F42" s="58"/>
      <c r="G42" s="59"/>
      <c r="H42" s="5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60"/>
      <c r="F43" s="58"/>
      <c r="G43" s="59"/>
      <c r="H43" s="5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60"/>
      <c r="F44" s="58"/>
      <c r="G44" s="59"/>
      <c r="H44" s="5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60"/>
      <c r="F45" s="58"/>
      <c r="G45" s="59"/>
      <c r="H45" s="5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60"/>
      <c r="F46" s="58"/>
      <c r="G46" s="59"/>
      <c r="H46" s="5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60"/>
      <c r="F47" s="58"/>
      <c r="G47" s="59"/>
      <c r="H47" s="5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60"/>
      <c r="F48" s="58"/>
      <c r="G48" s="59"/>
      <c r="H48" s="6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</sheetData>
  <mergeCells count="57">
    <mergeCell ref="A27:B27"/>
    <mergeCell ref="A28:B28"/>
    <mergeCell ref="A29:B29"/>
    <mergeCell ref="A30:B30"/>
    <mergeCell ref="A31:B31"/>
    <mergeCell ref="A32:B32"/>
    <mergeCell ref="A33:B33"/>
    <mergeCell ref="A20:B20"/>
    <mergeCell ref="A21:B21"/>
    <mergeCell ref="A22:B22"/>
    <mergeCell ref="A23:B23"/>
    <mergeCell ref="A24:B24"/>
    <mergeCell ref="A25:B25"/>
    <mergeCell ref="A26:B26"/>
    <mergeCell ref="A1:G1"/>
    <mergeCell ref="A2:B2"/>
    <mergeCell ref="C2:G2"/>
    <mergeCell ref="A3:B3"/>
    <mergeCell ref="K3:K4"/>
    <mergeCell ref="L3:N4"/>
    <mergeCell ref="AD4:AE4"/>
    <mergeCell ref="A4:B4"/>
    <mergeCell ref="A5:B5"/>
    <mergeCell ref="K5:K6"/>
    <mergeCell ref="L5:N6"/>
    <mergeCell ref="A6:B6"/>
    <mergeCell ref="K7:K8"/>
    <mergeCell ref="L7:N8"/>
    <mergeCell ref="AD12:AE12"/>
    <mergeCell ref="AD13:AE13"/>
    <mergeCell ref="AD14:AE14"/>
    <mergeCell ref="AD15:AE15"/>
    <mergeCell ref="AD16:AE16"/>
    <mergeCell ref="AD17:AE17"/>
    <mergeCell ref="AD5:AE5"/>
    <mergeCell ref="AD6:AE6"/>
    <mergeCell ref="AD7:AE7"/>
    <mergeCell ref="AD8:AE8"/>
    <mergeCell ref="AD9:AE9"/>
    <mergeCell ref="AD10:AE10"/>
    <mergeCell ref="AD11:AE11"/>
    <mergeCell ref="S19:V19"/>
    <mergeCell ref="W19:Z19"/>
    <mergeCell ref="A14:B14"/>
    <mergeCell ref="A15:B15"/>
    <mergeCell ref="A16:B16"/>
    <mergeCell ref="C19:F19"/>
    <mergeCell ref="G19:J19"/>
    <mergeCell ref="K19:N19"/>
    <mergeCell ref="O19:R19"/>
    <mergeCell ref="A7:B7"/>
    <mergeCell ref="A8:B8"/>
    <mergeCell ref="A9:B9"/>
    <mergeCell ref="A10:B10"/>
    <mergeCell ref="A11:B11"/>
    <mergeCell ref="A12:B12"/>
    <mergeCell ref="A13:B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25.29"/>
    <col customWidth="1" min="4" max="4" width="27.43"/>
    <col customWidth="1" min="5" max="6" width="25.29"/>
    <col customWidth="1" min="7" max="7" width="26.14"/>
    <col customWidth="1" min="8" max="12" width="25.29"/>
    <col customWidth="1" min="13" max="28" width="27.43"/>
  </cols>
  <sheetData>
    <row r="1">
      <c r="A1" s="61" t="s">
        <v>25</v>
      </c>
      <c r="B1" s="2"/>
      <c r="C1" s="2"/>
      <c r="D1" s="2"/>
      <c r="E1" s="2"/>
      <c r="F1" s="3"/>
      <c r="G1" s="62" t="s">
        <v>26</v>
      </c>
      <c r="H1" s="63"/>
      <c r="I1" s="6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65" t="s">
        <v>27</v>
      </c>
      <c r="B2" s="66" t="s">
        <v>28</v>
      </c>
      <c r="C2" s="66" t="s">
        <v>29</v>
      </c>
      <c r="D2" s="66" t="s">
        <v>30</v>
      </c>
      <c r="E2" s="67" t="s">
        <v>31</v>
      </c>
      <c r="F2" s="66" t="s">
        <v>32</v>
      </c>
      <c r="G2" s="23"/>
      <c r="H2" s="23"/>
      <c r="I2" s="6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8"/>
      <c r="B3" s="69"/>
      <c r="C3" s="70"/>
      <c r="D3" s="71"/>
      <c r="E3" s="69"/>
      <c r="F3" s="70"/>
      <c r="G3" s="64"/>
      <c r="H3" s="64"/>
      <c r="I3" s="6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68"/>
      <c r="B4" s="72"/>
      <c r="C4" s="70"/>
      <c r="D4" s="71"/>
      <c r="E4" s="38"/>
      <c r="F4" s="71"/>
      <c r="G4" s="73" t="s">
        <v>33</v>
      </c>
      <c r="H4" s="74"/>
      <c r="I4" s="6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75"/>
      <c r="AA4" s="75"/>
      <c r="AB4" s="75"/>
    </row>
    <row r="5">
      <c r="A5" s="68"/>
      <c r="B5" s="72"/>
      <c r="C5" s="71"/>
      <c r="D5" s="71"/>
      <c r="E5" s="38"/>
      <c r="F5" s="71"/>
      <c r="G5" s="20"/>
      <c r="H5" s="20"/>
      <c r="I5" s="6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5"/>
      <c r="AA5" s="75"/>
      <c r="AB5" s="75"/>
    </row>
    <row r="6">
      <c r="A6" s="68"/>
      <c r="B6" s="72"/>
      <c r="C6" s="71"/>
      <c r="D6" s="71"/>
      <c r="E6" s="76"/>
      <c r="F6" s="71"/>
      <c r="G6" s="64"/>
      <c r="H6" s="64"/>
      <c r="I6" s="6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75"/>
      <c r="AA6" s="75"/>
      <c r="AB6" s="75"/>
    </row>
    <row r="7">
      <c r="A7" s="77"/>
      <c r="B7" s="70"/>
      <c r="C7" s="71"/>
      <c r="D7" s="71"/>
      <c r="E7" s="76"/>
      <c r="F7" s="71"/>
      <c r="G7" s="78"/>
      <c r="H7" s="78"/>
      <c r="I7" s="7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77"/>
      <c r="B8" s="70"/>
      <c r="C8" s="71"/>
      <c r="D8" s="70"/>
      <c r="E8" s="38"/>
      <c r="F8" s="71"/>
      <c r="G8" s="79"/>
      <c r="H8" s="79"/>
      <c r="I8" s="79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77"/>
      <c r="B9" s="70"/>
      <c r="C9" s="70"/>
      <c r="D9" s="71"/>
      <c r="E9" s="38"/>
      <c r="F9" s="71"/>
      <c r="G9" s="80" t="s">
        <v>34</v>
      </c>
      <c r="H9" s="81">
        <f>Objectif!D16*0.05</f>
        <v>33693.3595</v>
      </c>
      <c r="I9" s="8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77"/>
      <c r="B10" s="70"/>
      <c r="C10" s="70"/>
      <c r="D10" s="71"/>
      <c r="E10" s="69"/>
      <c r="F10" s="71"/>
      <c r="G10" s="23"/>
      <c r="H10" s="22"/>
      <c r="I10" s="2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77"/>
      <c r="B11" s="70"/>
      <c r="C11" s="71"/>
      <c r="D11" s="71"/>
      <c r="E11" s="38"/>
      <c r="F11" s="71"/>
      <c r="G11" s="83" t="s">
        <v>35</v>
      </c>
      <c r="H11" s="81">
        <f>H1+H9-C29+I18</f>
        <v>33693.3595</v>
      </c>
      <c r="I11" s="8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77"/>
      <c r="B12" s="70"/>
      <c r="C12" s="70"/>
      <c r="D12" s="70"/>
      <c r="E12" s="48"/>
      <c r="F12" s="71"/>
      <c r="G12" s="23"/>
      <c r="H12" s="22"/>
      <c r="I12" s="2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77"/>
      <c r="B13" s="70"/>
      <c r="C13" s="71"/>
      <c r="D13" s="71"/>
      <c r="E13" s="38"/>
      <c r="F13" s="71"/>
      <c r="G13" s="78"/>
      <c r="H13" s="78"/>
      <c r="I13" s="7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77"/>
      <c r="B14" s="70"/>
      <c r="C14" s="71"/>
      <c r="D14" s="70"/>
      <c r="E14" s="38"/>
      <c r="F14" s="71"/>
      <c r="G14" s="79"/>
      <c r="H14" s="79"/>
      <c r="I14" s="79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77"/>
      <c r="B15" s="70"/>
      <c r="C15" s="70"/>
      <c r="D15" s="71"/>
      <c r="E15" s="76"/>
      <c r="F15" s="71"/>
      <c r="G15" s="83" t="s">
        <v>36</v>
      </c>
      <c r="H15" s="84" t="s">
        <v>37</v>
      </c>
      <c r="I15" s="8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5"/>
      <c r="B16" s="70"/>
      <c r="C16" s="71"/>
      <c r="D16" s="70"/>
      <c r="E16" s="76"/>
      <c r="F16" s="71"/>
      <c r="G16" s="23"/>
      <c r="H16" s="22"/>
      <c r="I16" s="2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5"/>
      <c r="B17" s="70"/>
      <c r="C17" s="70"/>
      <c r="D17" s="71"/>
      <c r="E17" s="76"/>
      <c r="F17" s="71"/>
      <c r="G17" s="86"/>
      <c r="H17" s="86"/>
      <c r="I17" s="8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85"/>
      <c r="B18" s="70"/>
      <c r="C18" s="71"/>
      <c r="D18" s="70"/>
      <c r="E18" s="76"/>
      <c r="F18" s="71"/>
      <c r="G18" s="87" t="s">
        <v>38</v>
      </c>
      <c r="H18" s="23"/>
      <c r="I18" s="88">
        <f>SUM(I19:I47)</f>
        <v>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5"/>
      <c r="B19" s="70"/>
      <c r="C19" s="70"/>
      <c r="D19" s="71"/>
      <c r="E19" s="38"/>
      <c r="F19" s="70"/>
      <c r="G19" s="89"/>
      <c r="I19" s="8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5"/>
      <c r="B20" s="70"/>
      <c r="C20" s="71"/>
      <c r="D20" s="71"/>
      <c r="E20" s="38"/>
      <c r="F20" s="71"/>
      <c r="G20" s="89"/>
      <c r="I20" s="89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5"/>
      <c r="B21" s="70"/>
      <c r="C21" s="70"/>
      <c r="D21" s="71"/>
      <c r="E21" s="38"/>
      <c r="F21" s="71"/>
      <c r="G21" s="89"/>
      <c r="I21" s="89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5"/>
      <c r="B22" s="70"/>
      <c r="C22" s="71"/>
      <c r="D22" s="71"/>
      <c r="E22" s="69"/>
      <c r="F22" s="71"/>
      <c r="G22" s="89"/>
      <c r="I22" s="89"/>
      <c r="J22" s="4">
        <f>3711.68</f>
        <v>3711.68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5"/>
      <c r="B23" s="70"/>
      <c r="C23" s="71"/>
      <c r="D23" s="71"/>
      <c r="E23" s="38"/>
      <c r="F23" s="71"/>
      <c r="G23" s="89"/>
      <c r="I23" s="89"/>
      <c r="J23" s="90">
        <f>Mars!B2-C9</f>
        <v>24833.479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5"/>
      <c r="B24" s="70"/>
      <c r="C24" s="70"/>
      <c r="D24" s="71"/>
      <c r="E24" s="38"/>
      <c r="F24" s="71"/>
      <c r="G24" s="89"/>
      <c r="I24" s="8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5"/>
      <c r="B25" s="70"/>
      <c r="C25" s="71"/>
      <c r="D25" s="70"/>
      <c r="E25" s="38"/>
      <c r="F25" s="71"/>
      <c r="G25" s="89"/>
      <c r="I25" s="89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5"/>
      <c r="B26" s="70"/>
      <c r="C26" s="70"/>
      <c r="D26" s="71"/>
      <c r="E26" s="38"/>
      <c r="F26" s="71"/>
      <c r="G26" s="89"/>
      <c r="I26" s="89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91"/>
      <c r="B27" s="70"/>
      <c r="C27" s="71"/>
      <c r="D27" s="71"/>
      <c r="E27" s="38"/>
      <c r="F27" s="71"/>
      <c r="G27" s="89"/>
      <c r="I27" s="89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91"/>
      <c r="B28" s="70"/>
      <c r="C28" s="71"/>
      <c r="D28" s="71"/>
      <c r="E28" s="38"/>
      <c r="F28" s="71"/>
      <c r="G28" s="89"/>
      <c r="I28" s="89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92" t="s">
        <v>39</v>
      </c>
      <c r="B29" s="93"/>
      <c r="C29" s="93">
        <f t="shared" ref="C29:F29" si="1">SUM(C3:C28)</f>
        <v>0</v>
      </c>
      <c r="D29" s="93">
        <f t="shared" si="1"/>
        <v>0</v>
      </c>
      <c r="E29" s="93">
        <f t="shared" si="1"/>
        <v>0</v>
      </c>
      <c r="F29" s="93">
        <f t="shared" si="1"/>
        <v>0</v>
      </c>
      <c r="G29" s="89"/>
      <c r="I29" s="89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89"/>
      <c r="C30" s="89"/>
      <c r="D30" s="89"/>
      <c r="E30" s="4"/>
      <c r="F30" s="4"/>
      <c r="G30" s="89"/>
      <c r="I30" s="89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25"/>
      <c r="B31" s="89"/>
      <c r="C31" s="89"/>
      <c r="D31" s="89"/>
      <c r="F31" s="4"/>
      <c r="G31" s="89"/>
      <c r="I31" s="89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89"/>
      <c r="C32" s="89"/>
      <c r="D32" s="89"/>
      <c r="E32" s="4"/>
      <c r="F32" s="4"/>
      <c r="G32" s="4"/>
      <c r="I32" s="89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89"/>
      <c r="C33" s="89"/>
      <c r="D33" s="89"/>
      <c r="E33" s="4"/>
      <c r="F33" s="4"/>
      <c r="G33" s="4"/>
      <c r="I33" s="89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89"/>
      <c r="C34" s="89"/>
      <c r="D34" s="89"/>
      <c r="E34" s="4"/>
      <c r="F34" s="4"/>
      <c r="G34" s="4"/>
      <c r="I34" s="89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89"/>
      <c r="C35" s="89"/>
      <c r="D35" s="89"/>
      <c r="E35" s="4"/>
      <c r="F35" s="4"/>
      <c r="G35" s="4"/>
      <c r="I35" s="89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89"/>
      <c r="C36" s="89"/>
      <c r="D36" s="89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89"/>
      <c r="C37" s="89"/>
      <c r="D37" s="89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89"/>
      <c r="C38" s="89"/>
      <c r="D38" s="89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89"/>
      <c r="C39" s="89"/>
      <c r="D39" s="8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89"/>
      <c r="C40" s="89"/>
      <c r="D40" s="8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89"/>
      <c r="C41" s="89"/>
      <c r="D41" s="8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89"/>
      <c r="C42" s="89"/>
      <c r="D42" s="8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89"/>
      <c r="C43" s="89"/>
      <c r="D43" s="8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89"/>
      <c r="C44" s="89"/>
      <c r="D44" s="8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89"/>
      <c r="C45" s="89"/>
      <c r="D45" s="8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89"/>
      <c r="C46" s="89"/>
      <c r="D46" s="8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89"/>
      <c r="C47" s="89"/>
      <c r="D47" s="8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89"/>
      <c r="C48" s="89"/>
      <c r="D48" s="8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89"/>
      <c r="C49" s="89"/>
      <c r="D49" s="8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89"/>
      <c r="C50" s="89"/>
      <c r="D50" s="8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89"/>
      <c r="C51" s="89"/>
      <c r="D51" s="8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89"/>
      <c r="C52" s="89"/>
      <c r="D52" s="8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89"/>
      <c r="C53" s="89"/>
      <c r="D53" s="8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89"/>
      <c r="C54" s="89"/>
      <c r="D54" s="89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89"/>
      <c r="C55" s="89"/>
      <c r="D55" s="8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89"/>
      <c r="C56" s="89"/>
      <c r="D56" s="8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89"/>
      <c r="C57" s="89"/>
      <c r="D57" s="8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89"/>
      <c r="C58" s="89"/>
      <c r="D58" s="89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89"/>
      <c r="C59" s="89"/>
      <c r="D59" s="89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89"/>
      <c r="C60" s="89"/>
      <c r="D60" s="89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89"/>
      <c r="C61" s="89"/>
      <c r="D61" s="8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89"/>
      <c r="C62" s="89"/>
      <c r="D62" s="8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89"/>
      <c r="C63" s="89"/>
      <c r="D63" s="8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89"/>
      <c r="C64" s="89"/>
      <c r="D64" s="8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89"/>
      <c r="C65" s="89"/>
      <c r="D65" s="8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89"/>
      <c r="C66" s="89"/>
      <c r="D66" s="8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89"/>
      <c r="C67" s="89"/>
      <c r="D67" s="8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89"/>
      <c r="C68" s="89"/>
      <c r="D68" s="8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89"/>
      <c r="C69" s="89"/>
      <c r="D69" s="8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89"/>
      <c r="C70" s="89"/>
      <c r="D70" s="8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89"/>
      <c r="C71" s="89"/>
      <c r="D71" s="8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89"/>
      <c r="C72" s="89"/>
      <c r="D72" s="8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89"/>
      <c r="C73" s="89"/>
      <c r="D73" s="8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89"/>
      <c r="C74" s="89"/>
      <c r="D74" s="8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89"/>
      <c r="C75" s="89"/>
      <c r="D75" s="8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89"/>
      <c r="C76" s="89"/>
      <c r="D76" s="8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89"/>
      <c r="C77" s="89"/>
      <c r="D77" s="8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89"/>
      <c r="C78" s="89"/>
      <c r="D78" s="8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89"/>
      <c r="C79" s="89"/>
      <c r="D79" s="8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89"/>
      <c r="C80" s="89"/>
      <c r="D80" s="8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89"/>
      <c r="C81" s="89"/>
      <c r="D81" s="8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89"/>
      <c r="C82" s="89"/>
      <c r="D82" s="8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89"/>
      <c r="C83" s="89"/>
      <c r="D83" s="8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89"/>
      <c r="C84" s="89"/>
      <c r="D84" s="8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89"/>
      <c r="C85" s="89"/>
      <c r="D85" s="8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89"/>
      <c r="C86" s="89"/>
      <c r="D86" s="8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89"/>
      <c r="C87" s="89"/>
      <c r="D87" s="8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89"/>
      <c r="C88" s="89"/>
      <c r="D88" s="8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89"/>
      <c r="C89" s="89"/>
      <c r="D89" s="8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89"/>
      <c r="C90" s="89"/>
      <c r="D90" s="8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89"/>
      <c r="C91" s="89"/>
      <c r="D91" s="8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89"/>
      <c r="C92" s="89"/>
      <c r="D92" s="8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89"/>
      <c r="C93" s="89"/>
      <c r="D93" s="8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89"/>
      <c r="C94" s="89"/>
      <c r="D94" s="8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89"/>
      <c r="C95" s="89"/>
      <c r="D95" s="8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89"/>
      <c r="C96" s="89"/>
      <c r="D96" s="8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89"/>
      <c r="C97" s="89"/>
      <c r="D97" s="8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89"/>
      <c r="C98" s="89"/>
      <c r="D98" s="8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89"/>
      <c r="C99" s="89"/>
      <c r="D99" s="8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89"/>
      <c r="C100" s="89"/>
      <c r="D100" s="8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89"/>
      <c r="C101" s="89"/>
      <c r="D101" s="8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89"/>
      <c r="C102" s="89"/>
      <c r="D102" s="8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89"/>
      <c r="C103" s="89"/>
      <c r="D103" s="8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89"/>
      <c r="C104" s="89"/>
      <c r="D104" s="8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89"/>
      <c r="C105" s="89"/>
      <c r="D105" s="8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89"/>
      <c r="C106" s="89"/>
      <c r="D106" s="8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89"/>
      <c r="C107" s="89"/>
      <c r="D107" s="8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89"/>
      <c r="C108" s="89"/>
      <c r="D108" s="8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89"/>
      <c r="C109" s="89"/>
      <c r="D109" s="8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89"/>
      <c r="C110" s="89"/>
      <c r="D110" s="8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89"/>
      <c r="C111" s="89"/>
      <c r="D111" s="8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89"/>
      <c r="C112" s="89"/>
      <c r="D112" s="8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89"/>
      <c r="C113" s="89"/>
      <c r="D113" s="8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89"/>
      <c r="C114" s="89"/>
      <c r="D114" s="8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89"/>
      <c r="C115" s="89"/>
      <c r="D115" s="8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89"/>
      <c r="C116" s="89"/>
      <c r="D116" s="8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89"/>
      <c r="C117" s="89"/>
      <c r="D117" s="8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89"/>
      <c r="C118" s="89"/>
      <c r="D118" s="8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89"/>
      <c r="C119" s="89"/>
      <c r="D119" s="8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89"/>
      <c r="C120" s="89"/>
      <c r="D120" s="8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89"/>
      <c r="C121" s="89"/>
      <c r="D121" s="8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89"/>
      <c r="C122" s="89"/>
      <c r="D122" s="8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89"/>
      <c r="C123" s="89"/>
      <c r="D123" s="8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89"/>
      <c r="C124" s="89"/>
      <c r="D124" s="8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89"/>
      <c r="C125" s="89"/>
      <c r="D125" s="8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89"/>
      <c r="C126" s="89"/>
      <c r="D126" s="8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89"/>
      <c r="C127" s="89"/>
      <c r="D127" s="8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89"/>
      <c r="C128" s="89"/>
      <c r="D128" s="8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89"/>
      <c r="C129" s="89"/>
      <c r="D129" s="8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89"/>
      <c r="C130" s="89"/>
      <c r="D130" s="8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89"/>
      <c r="C131" s="89"/>
      <c r="D131" s="8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89"/>
      <c r="C132" s="89"/>
      <c r="D132" s="8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89"/>
      <c r="C133" s="89"/>
      <c r="D133" s="8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89"/>
      <c r="C134" s="89"/>
      <c r="D134" s="8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89"/>
      <c r="C135" s="89"/>
      <c r="D135" s="8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89"/>
      <c r="C136" s="89"/>
      <c r="D136" s="8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89"/>
      <c r="C137" s="89"/>
      <c r="D137" s="8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89"/>
      <c r="C138" s="89"/>
      <c r="D138" s="8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89"/>
      <c r="C139" s="89"/>
      <c r="D139" s="8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89"/>
      <c r="C140" s="89"/>
      <c r="D140" s="8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89"/>
      <c r="C141" s="89"/>
      <c r="D141" s="8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89"/>
      <c r="C142" s="89"/>
      <c r="D142" s="8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89"/>
      <c r="C143" s="89"/>
      <c r="D143" s="8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89"/>
      <c r="C144" s="89"/>
      <c r="D144" s="8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89"/>
      <c r="C145" s="89"/>
      <c r="D145" s="8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89"/>
      <c r="C146" s="89"/>
      <c r="D146" s="8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89"/>
      <c r="C147" s="89"/>
      <c r="D147" s="8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89"/>
      <c r="C148" s="89"/>
      <c r="D148" s="8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89"/>
      <c r="C149" s="89"/>
      <c r="D149" s="8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89"/>
      <c r="C150" s="89"/>
      <c r="D150" s="8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89"/>
      <c r="C151" s="89"/>
      <c r="D151" s="8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89"/>
      <c r="C152" s="89"/>
      <c r="D152" s="8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89"/>
      <c r="C153" s="89"/>
      <c r="D153" s="8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89"/>
      <c r="C154" s="89"/>
      <c r="D154" s="8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89"/>
      <c r="C155" s="89"/>
      <c r="D155" s="8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89"/>
      <c r="C156" s="89"/>
      <c r="D156" s="8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89"/>
      <c r="C157" s="89"/>
      <c r="D157" s="8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89"/>
      <c r="C158" s="89"/>
      <c r="D158" s="8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89"/>
      <c r="C159" s="89"/>
      <c r="D159" s="8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89"/>
      <c r="C160" s="89"/>
      <c r="D160" s="8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89"/>
      <c r="C161" s="89"/>
      <c r="D161" s="8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89"/>
      <c r="C162" s="89"/>
      <c r="D162" s="8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89"/>
      <c r="C163" s="89"/>
      <c r="D163" s="8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89"/>
      <c r="C164" s="89"/>
      <c r="D164" s="8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89"/>
      <c r="C165" s="89"/>
      <c r="D165" s="8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89"/>
      <c r="C166" s="89"/>
      <c r="D166" s="8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89"/>
      <c r="C167" s="89"/>
      <c r="D167" s="8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89"/>
      <c r="C168" s="89"/>
      <c r="D168" s="8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89"/>
      <c r="C169" s="89"/>
      <c r="D169" s="8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89"/>
      <c r="C170" s="89"/>
      <c r="D170" s="8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89"/>
      <c r="C171" s="89"/>
      <c r="D171" s="8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89"/>
      <c r="C172" s="89"/>
      <c r="D172" s="8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89"/>
      <c r="C173" s="89"/>
      <c r="D173" s="8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89"/>
      <c r="C174" s="89"/>
      <c r="D174" s="8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89"/>
      <c r="C175" s="89"/>
      <c r="D175" s="8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89"/>
      <c r="C176" s="89"/>
      <c r="D176" s="8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89"/>
      <c r="C177" s="89"/>
      <c r="D177" s="8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89"/>
      <c r="C178" s="89"/>
      <c r="D178" s="8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89"/>
      <c r="C179" s="89"/>
      <c r="D179" s="8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89"/>
      <c r="C180" s="89"/>
      <c r="D180" s="8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89"/>
      <c r="C181" s="89"/>
      <c r="D181" s="8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89"/>
      <c r="C182" s="89"/>
      <c r="D182" s="8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89"/>
      <c r="C183" s="89"/>
      <c r="D183" s="8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89"/>
      <c r="C184" s="89"/>
      <c r="D184" s="8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89"/>
      <c r="C185" s="89"/>
      <c r="D185" s="8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89"/>
      <c r="C186" s="89"/>
      <c r="D186" s="8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89"/>
      <c r="C187" s="89"/>
      <c r="D187" s="8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89"/>
      <c r="C188" s="89"/>
      <c r="D188" s="8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89"/>
      <c r="C189" s="89"/>
      <c r="D189" s="8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89"/>
      <c r="C190" s="89"/>
      <c r="D190" s="8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89"/>
      <c r="C191" s="89"/>
      <c r="D191" s="8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89"/>
      <c r="C192" s="89"/>
      <c r="D192" s="8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89"/>
      <c r="C193" s="89"/>
      <c r="D193" s="8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89"/>
      <c r="C194" s="89"/>
      <c r="D194" s="8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89"/>
      <c r="C195" s="89"/>
      <c r="D195" s="8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89"/>
      <c r="C196" s="89"/>
      <c r="D196" s="8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89"/>
      <c r="C197" s="89"/>
      <c r="D197" s="8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89"/>
      <c r="C198" s="89"/>
      <c r="D198" s="8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89"/>
      <c r="C199" s="89"/>
      <c r="D199" s="8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89"/>
      <c r="C200" s="89"/>
      <c r="D200" s="8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89"/>
      <c r="C201" s="89"/>
      <c r="D201" s="8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89"/>
      <c r="C202" s="89"/>
      <c r="D202" s="8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89"/>
      <c r="C203" s="89"/>
      <c r="D203" s="8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89"/>
      <c r="C204" s="89"/>
      <c r="D204" s="8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89"/>
      <c r="C205" s="89"/>
      <c r="D205" s="8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89"/>
      <c r="C206" s="89"/>
      <c r="D206" s="8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89"/>
      <c r="C207" s="89"/>
      <c r="D207" s="8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89"/>
      <c r="C208" s="89"/>
      <c r="D208" s="8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89"/>
      <c r="C209" s="89"/>
      <c r="D209" s="8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89"/>
      <c r="C210" s="89"/>
      <c r="D210" s="8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89"/>
      <c r="C211" s="89"/>
      <c r="D211" s="8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89"/>
      <c r="C212" s="89"/>
      <c r="D212" s="8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89"/>
      <c r="C213" s="89"/>
      <c r="D213" s="8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89"/>
      <c r="C214" s="89"/>
      <c r="D214" s="8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89"/>
      <c r="C215" s="89"/>
      <c r="D215" s="8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89"/>
      <c r="C216" s="89"/>
      <c r="D216" s="8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89"/>
      <c r="C217" s="89"/>
      <c r="D217" s="8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89"/>
      <c r="C218" s="89"/>
      <c r="D218" s="8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89"/>
      <c r="C219" s="89"/>
      <c r="D219" s="8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89"/>
      <c r="C220" s="89"/>
      <c r="D220" s="8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89"/>
      <c r="C221" s="89"/>
      <c r="D221" s="8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89"/>
      <c r="C222" s="89"/>
      <c r="D222" s="8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89"/>
      <c r="C223" s="89"/>
      <c r="D223" s="8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89"/>
      <c r="C224" s="89"/>
      <c r="D224" s="8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89"/>
      <c r="C225" s="89"/>
      <c r="D225" s="8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89"/>
      <c r="C226" s="89"/>
      <c r="D226" s="8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89"/>
      <c r="C227" s="89"/>
      <c r="D227" s="8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89"/>
      <c r="C228" s="89"/>
      <c r="D228" s="8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89"/>
      <c r="C229" s="89"/>
      <c r="D229" s="8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89"/>
      <c r="C230" s="89"/>
      <c r="D230" s="8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89"/>
      <c r="C231" s="89"/>
      <c r="D231" s="8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89"/>
      <c r="C232" s="89"/>
      <c r="D232" s="8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89"/>
      <c r="C233" s="89"/>
      <c r="D233" s="8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89"/>
      <c r="C234" s="89"/>
      <c r="D234" s="8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89"/>
      <c r="C235" s="89"/>
      <c r="D235" s="8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89"/>
      <c r="C236" s="89"/>
      <c r="D236" s="8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89"/>
      <c r="C237" s="89"/>
      <c r="D237" s="8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89"/>
      <c r="C238" s="89"/>
      <c r="D238" s="8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89"/>
      <c r="C239" s="89"/>
      <c r="D239" s="8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89"/>
      <c r="C240" s="89"/>
      <c r="D240" s="8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89"/>
      <c r="C241" s="89"/>
      <c r="D241" s="8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89"/>
      <c r="C242" s="89"/>
      <c r="D242" s="8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89"/>
      <c r="C243" s="89"/>
      <c r="D243" s="8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89"/>
      <c r="C244" s="89"/>
      <c r="D244" s="8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89"/>
      <c r="C245" s="89"/>
      <c r="D245" s="8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89"/>
      <c r="C246" s="89"/>
      <c r="D246" s="8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89"/>
      <c r="C247" s="89"/>
      <c r="D247" s="8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89"/>
      <c r="C248" s="89"/>
      <c r="D248" s="8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89"/>
      <c r="C249" s="89"/>
      <c r="D249" s="8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89"/>
      <c r="C250" s="89"/>
      <c r="D250" s="8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89"/>
      <c r="C251" s="89"/>
      <c r="D251" s="8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89"/>
      <c r="C252" s="89"/>
      <c r="D252" s="8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89"/>
      <c r="C253" s="89"/>
      <c r="D253" s="8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89"/>
      <c r="C254" s="89"/>
      <c r="D254" s="8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89"/>
      <c r="C255" s="89"/>
      <c r="D255" s="8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89"/>
      <c r="C256" s="89"/>
      <c r="D256" s="8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89"/>
      <c r="C257" s="89"/>
      <c r="D257" s="8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89"/>
      <c r="C258" s="89"/>
      <c r="D258" s="8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89"/>
      <c r="C259" s="89"/>
      <c r="D259" s="8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89"/>
      <c r="C260" s="89"/>
      <c r="D260" s="8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89"/>
      <c r="C261" s="89"/>
      <c r="D261" s="8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89"/>
      <c r="C262" s="89"/>
      <c r="D262" s="8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89"/>
      <c r="C263" s="89"/>
      <c r="D263" s="8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89"/>
      <c r="C264" s="89"/>
      <c r="D264" s="8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89"/>
      <c r="C265" s="89"/>
      <c r="D265" s="8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89"/>
      <c r="C266" s="89"/>
      <c r="D266" s="8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89"/>
      <c r="C267" s="89"/>
      <c r="D267" s="8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89"/>
      <c r="C268" s="89"/>
      <c r="D268" s="8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89"/>
      <c r="C269" s="89"/>
      <c r="D269" s="8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89"/>
      <c r="C270" s="89"/>
      <c r="D270" s="8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89"/>
      <c r="C271" s="89"/>
      <c r="D271" s="8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89"/>
      <c r="C272" s="89"/>
      <c r="D272" s="8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89"/>
      <c r="C273" s="89"/>
      <c r="D273" s="8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89"/>
      <c r="C274" s="89"/>
      <c r="D274" s="8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89"/>
      <c r="C275" s="89"/>
      <c r="D275" s="8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89"/>
      <c r="C276" s="89"/>
      <c r="D276" s="8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89"/>
      <c r="C277" s="89"/>
      <c r="D277" s="8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89"/>
      <c r="C278" s="89"/>
      <c r="D278" s="8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89"/>
      <c r="C279" s="89"/>
      <c r="D279" s="8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89"/>
      <c r="C280" s="89"/>
      <c r="D280" s="8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89"/>
      <c r="C281" s="89"/>
      <c r="D281" s="8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89"/>
      <c r="C282" s="89"/>
      <c r="D282" s="8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89"/>
      <c r="C283" s="89"/>
      <c r="D283" s="8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89"/>
      <c r="C284" s="89"/>
      <c r="D284" s="8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89"/>
      <c r="C285" s="89"/>
      <c r="D285" s="8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89"/>
      <c r="C286" s="89"/>
      <c r="D286" s="8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89"/>
      <c r="C287" s="89"/>
      <c r="D287" s="8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89"/>
      <c r="C288" s="89"/>
      <c r="D288" s="8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89"/>
      <c r="C289" s="89"/>
      <c r="D289" s="8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89"/>
      <c r="C290" s="89"/>
      <c r="D290" s="8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89"/>
      <c r="C291" s="89"/>
      <c r="D291" s="8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89"/>
      <c r="C292" s="89"/>
      <c r="D292" s="8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89"/>
      <c r="C293" s="89"/>
      <c r="D293" s="8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89"/>
      <c r="C294" s="89"/>
      <c r="D294" s="8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89"/>
      <c r="C295" s="89"/>
      <c r="D295" s="8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89"/>
      <c r="C296" s="89"/>
      <c r="D296" s="8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89"/>
      <c r="C297" s="89"/>
      <c r="D297" s="8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89"/>
      <c r="C298" s="89"/>
      <c r="D298" s="8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89"/>
      <c r="C299" s="89"/>
      <c r="D299" s="8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89"/>
      <c r="C300" s="89"/>
      <c r="D300" s="8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89"/>
      <c r="C301" s="89"/>
      <c r="D301" s="8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89"/>
      <c r="C302" s="89"/>
      <c r="D302" s="8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89"/>
      <c r="C303" s="89"/>
      <c r="D303" s="8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89"/>
      <c r="C304" s="89"/>
      <c r="D304" s="8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89"/>
      <c r="C305" s="89"/>
      <c r="D305" s="8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89"/>
      <c r="C306" s="89"/>
      <c r="D306" s="8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89"/>
      <c r="C307" s="89"/>
      <c r="D307" s="8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89"/>
      <c r="C308" s="89"/>
      <c r="D308" s="8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89"/>
      <c r="C309" s="89"/>
      <c r="D309" s="8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89"/>
      <c r="C310" s="89"/>
      <c r="D310" s="8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89"/>
      <c r="C311" s="89"/>
      <c r="D311" s="8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89"/>
      <c r="C312" s="89"/>
      <c r="D312" s="8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89"/>
      <c r="C313" s="89"/>
      <c r="D313" s="8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89"/>
      <c r="C314" s="89"/>
      <c r="D314" s="8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89"/>
      <c r="C315" s="89"/>
      <c r="D315" s="8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89"/>
      <c r="C316" s="89"/>
      <c r="D316" s="8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89"/>
      <c r="C317" s="89"/>
      <c r="D317" s="8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89"/>
      <c r="C318" s="89"/>
      <c r="D318" s="8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89"/>
      <c r="C319" s="89"/>
      <c r="D319" s="8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89"/>
      <c r="C320" s="89"/>
      <c r="D320" s="8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89"/>
      <c r="C321" s="89"/>
      <c r="D321" s="8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89"/>
      <c r="C322" s="89"/>
      <c r="D322" s="8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89"/>
      <c r="C323" s="89"/>
      <c r="D323" s="8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89"/>
      <c r="C324" s="89"/>
      <c r="D324" s="8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89"/>
      <c r="C325" s="89"/>
      <c r="D325" s="8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89"/>
      <c r="C326" s="89"/>
      <c r="D326" s="8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89"/>
      <c r="C327" s="89"/>
      <c r="D327" s="8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89"/>
      <c r="C328" s="89"/>
      <c r="D328" s="8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89"/>
      <c r="C329" s="89"/>
      <c r="D329" s="8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89"/>
      <c r="C330" s="89"/>
      <c r="D330" s="8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89"/>
      <c r="C331" s="89"/>
      <c r="D331" s="8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89"/>
      <c r="C332" s="89"/>
      <c r="D332" s="8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89"/>
      <c r="C333" s="89"/>
      <c r="D333" s="8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89"/>
      <c r="C334" s="89"/>
      <c r="D334" s="8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89"/>
      <c r="C335" s="89"/>
      <c r="D335" s="8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89"/>
      <c r="C336" s="89"/>
      <c r="D336" s="8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89"/>
      <c r="C337" s="89"/>
      <c r="D337" s="8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89"/>
      <c r="C338" s="89"/>
      <c r="D338" s="8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89"/>
      <c r="C339" s="89"/>
      <c r="D339" s="8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89"/>
      <c r="C340" s="89"/>
      <c r="D340" s="8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89"/>
      <c r="C341" s="89"/>
      <c r="D341" s="8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89"/>
      <c r="C342" s="89"/>
      <c r="D342" s="8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89"/>
      <c r="C343" s="89"/>
      <c r="D343" s="8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89"/>
      <c r="C344" s="89"/>
      <c r="D344" s="8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89"/>
      <c r="C345" s="89"/>
      <c r="D345" s="8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89"/>
      <c r="C346" s="89"/>
      <c r="D346" s="8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89"/>
      <c r="C347" s="89"/>
      <c r="D347" s="8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89"/>
      <c r="C348" s="89"/>
      <c r="D348" s="8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89"/>
      <c r="C349" s="89"/>
      <c r="D349" s="8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89"/>
      <c r="C350" s="89"/>
      <c r="D350" s="8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89"/>
      <c r="C351" s="89"/>
      <c r="D351" s="8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89"/>
      <c r="C352" s="89"/>
      <c r="D352" s="8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89"/>
      <c r="C353" s="89"/>
      <c r="D353" s="8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89"/>
      <c r="C354" s="89"/>
      <c r="D354" s="8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89"/>
      <c r="C355" s="89"/>
      <c r="D355" s="8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89"/>
      <c r="C356" s="89"/>
      <c r="D356" s="8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89"/>
      <c r="C357" s="89"/>
      <c r="D357" s="8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89"/>
      <c r="C358" s="89"/>
      <c r="D358" s="8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89"/>
      <c r="C359" s="89"/>
      <c r="D359" s="8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89"/>
      <c r="C360" s="89"/>
      <c r="D360" s="8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89"/>
      <c r="C361" s="89"/>
      <c r="D361" s="8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89"/>
      <c r="C362" s="89"/>
      <c r="D362" s="8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89"/>
      <c r="C363" s="89"/>
      <c r="D363" s="8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89"/>
      <c r="C364" s="89"/>
      <c r="D364" s="8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89"/>
      <c r="C365" s="89"/>
      <c r="D365" s="8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89"/>
      <c r="C366" s="89"/>
      <c r="D366" s="8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89"/>
      <c r="C367" s="89"/>
      <c r="D367" s="8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89"/>
      <c r="C368" s="89"/>
      <c r="D368" s="8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89"/>
      <c r="C369" s="89"/>
      <c r="D369" s="8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89"/>
      <c r="C370" s="89"/>
      <c r="D370" s="8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89"/>
      <c r="C371" s="89"/>
      <c r="D371" s="8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89"/>
      <c r="C372" s="89"/>
      <c r="D372" s="8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89"/>
      <c r="C373" s="89"/>
      <c r="D373" s="8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89"/>
      <c r="C374" s="89"/>
      <c r="D374" s="8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89"/>
      <c r="C375" s="89"/>
      <c r="D375" s="8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89"/>
      <c r="C376" s="89"/>
      <c r="D376" s="8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89"/>
      <c r="C377" s="89"/>
      <c r="D377" s="8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89"/>
      <c r="C378" s="89"/>
      <c r="D378" s="8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89"/>
      <c r="C379" s="89"/>
      <c r="D379" s="8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89"/>
      <c r="C380" s="89"/>
      <c r="D380" s="8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89"/>
      <c r="C381" s="89"/>
      <c r="D381" s="8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89"/>
      <c r="C382" s="89"/>
      <c r="D382" s="8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89"/>
      <c r="C383" s="89"/>
      <c r="D383" s="8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89"/>
      <c r="C384" s="89"/>
      <c r="D384" s="8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89"/>
      <c r="C385" s="89"/>
      <c r="D385" s="8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89"/>
      <c r="C386" s="89"/>
      <c r="D386" s="8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89"/>
      <c r="C387" s="89"/>
      <c r="D387" s="8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89"/>
      <c r="C388" s="89"/>
      <c r="D388" s="8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89"/>
      <c r="C389" s="89"/>
      <c r="D389" s="8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89"/>
      <c r="C390" s="89"/>
      <c r="D390" s="8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89"/>
      <c r="C391" s="89"/>
      <c r="D391" s="8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89"/>
      <c r="C392" s="89"/>
      <c r="D392" s="8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89"/>
      <c r="C393" s="89"/>
      <c r="D393" s="8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89"/>
      <c r="C394" s="89"/>
      <c r="D394" s="8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89"/>
      <c r="C395" s="89"/>
      <c r="D395" s="8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89"/>
      <c r="C396" s="89"/>
      <c r="D396" s="8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89"/>
      <c r="C397" s="89"/>
      <c r="D397" s="8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89"/>
      <c r="C398" s="89"/>
      <c r="D398" s="89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89"/>
      <c r="C399" s="89"/>
      <c r="D399" s="89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89"/>
      <c r="C400" s="89"/>
      <c r="D400" s="89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89"/>
      <c r="C401" s="89"/>
      <c r="D401" s="89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89"/>
      <c r="C402" s="89"/>
      <c r="D402" s="89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89"/>
      <c r="C403" s="89"/>
      <c r="D403" s="89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89"/>
      <c r="C404" s="89"/>
      <c r="D404" s="89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89"/>
      <c r="C405" s="89"/>
      <c r="D405" s="89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89"/>
      <c r="C406" s="89"/>
      <c r="D406" s="89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89"/>
      <c r="C407" s="89"/>
      <c r="D407" s="89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89"/>
      <c r="C408" s="89"/>
      <c r="D408" s="89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89"/>
      <c r="C409" s="89"/>
      <c r="D409" s="89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89"/>
      <c r="C410" s="89"/>
      <c r="D410" s="89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89"/>
      <c r="C411" s="89"/>
      <c r="D411" s="89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89"/>
      <c r="C412" s="89"/>
      <c r="D412" s="89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89"/>
      <c r="C413" s="89"/>
      <c r="D413" s="89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89"/>
      <c r="C414" s="89"/>
      <c r="D414" s="89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89"/>
      <c r="C415" s="89"/>
      <c r="D415" s="89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89"/>
      <c r="C416" s="89"/>
      <c r="D416" s="89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89"/>
      <c r="C417" s="89"/>
      <c r="D417" s="89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89"/>
      <c r="C418" s="89"/>
      <c r="D418" s="89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89"/>
      <c r="C419" s="89"/>
      <c r="D419" s="89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89"/>
      <c r="C420" s="89"/>
      <c r="D420" s="89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89"/>
      <c r="C421" s="89"/>
      <c r="D421" s="89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89"/>
      <c r="C422" s="89"/>
      <c r="D422" s="89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89"/>
      <c r="C423" s="89"/>
      <c r="D423" s="89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89"/>
      <c r="C424" s="89"/>
      <c r="D424" s="89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89"/>
      <c r="C425" s="89"/>
      <c r="D425" s="89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89"/>
      <c r="C426" s="89"/>
      <c r="D426" s="89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89"/>
      <c r="C427" s="89"/>
      <c r="D427" s="89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89"/>
      <c r="C428" s="89"/>
      <c r="D428" s="89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89"/>
      <c r="C429" s="89"/>
      <c r="D429" s="89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89"/>
      <c r="C430" s="89"/>
      <c r="D430" s="89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89"/>
      <c r="C431" s="89"/>
      <c r="D431" s="89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89"/>
      <c r="C432" s="89"/>
      <c r="D432" s="89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89"/>
      <c r="C433" s="89"/>
      <c r="D433" s="89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89"/>
      <c r="C434" s="89"/>
      <c r="D434" s="89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89"/>
      <c r="C435" s="89"/>
      <c r="D435" s="89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89"/>
      <c r="C436" s="89"/>
      <c r="D436" s="89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89"/>
      <c r="C437" s="89"/>
      <c r="D437" s="89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89"/>
      <c r="C438" s="89"/>
      <c r="D438" s="89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89"/>
      <c r="C439" s="89"/>
      <c r="D439" s="89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89"/>
      <c r="C440" s="89"/>
      <c r="D440" s="89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89"/>
      <c r="C441" s="89"/>
      <c r="D441" s="89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89"/>
      <c r="C442" s="89"/>
      <c r="D442" s="89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89"/>
      <c r="C443" s="89"/>
      <c r="D443" s="89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89"/>
      <c r="C444" s="89"/>
      <c r="D444" s="89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89"/>
      <c r="C445" s="89"/>
      <c r="D445" s="89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89"/>
      <c r="C446" s="89"/>
      <c r="D446" s="89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89"/>
      <c r="C447" s="89"/>
      <c r="D447" s="89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89"/>
      <c r="C448" s="89"/>
      <c r="D448" s="89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89"/>
      <c r="C449" s="89"/>
      <c r="D449" s="89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89"/>
      <c r="C450" s="89"/>
      <c r="D450" s="89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89"/>
      <c r="C451" s="89"/>
      <c r="D451" s="89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89"/>
      <c r="C452" s="89"/>
      <c r="D452" s="89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89"/>
      <c r="C453" s="89"/>
      <c r="D453" s="89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89"/>
      <c r="C454" s="89"/>
      <c r="D454" s="89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89"/>
      <c r="C455" s="89"/>
      <c r="D455" s="89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89"/>
      <c r="C456" s="89"/>
      <c r="D456" s="89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89"/>
      <c r="C457" s="89"/>
      <c r="D457" s="89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89"/>
      <c r="C458" s="89"/>
      <c r="D458" s="89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89"/>
      <c r="C459" s="89"/>
      <c r="D459" s="89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89"/>
      <c r="C460" s="89"/>
      <c r="D460" s="89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89"/>
      <c r="C461" s="89"/>
      <c r="D461" s="89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89"/>
      <c r="C462" s="89"/>
      <c r="D462" s="89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89"/>
      <c r="C463" s="89"/>
      <c r="D463" s="89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89"/>
      <c r="C464" s="89"/>
      <c r="D464" s="89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89"/>
      <c r="C465" s="89"/>
      <c r="D465" s="89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89"/>
      <c r="C466" s="89"/>
      <c r="D466" s="89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89"/>
      <c r="C467" s="89"/>
      <c r="D467" s="89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89"/>
      <c r="C468" s="89"/>
      <c r="D468" s="89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89"/>
      <c r="C469" s="89"/>
      <c r="D469" s="89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89"/>
      <c r="C470" s="89"/>
      <c r="D470" s="89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89"/>
      <c r="C471" s="89"/>
      <c r="D471" s="89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89"/>
      <c r="C472" s="89"/>
      <c r="D472" s="89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89"/>
      <c r="C473" s="89"/>
      <c r="D473" s="89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89"/>
      <c r="C474" s="89"/>
      <c r="D474" s="89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89"/>
      <c r="C475" s="89"/>
      <c r="D475" s="89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89"/>
      <c r="C476" s="89"/>
      <c r="D476" s="89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89"/>
      <c r="C477" s="89"/>
      <c r="D477" s="89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89"/>
      <c r="C478" s="89"/>
      <c r="D478" s="89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89"/>
      <c r="C479" s="89"/>
      <c r="D479" s="89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89"/>
      <c r="C480" s="89"/>
      <c r="D480" s="89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89"/>
      <c r="C481" s="89"/>
      <c r="D481" s="89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89"/>
      <c r="C482" s="89"/>
      <c r="D482" s="89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89"/>
      <c r="C483" s="89"/>
      <c r="D483" s="89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89"/>
      <c r="C484" s="89"/>
      <c r="D484" s="89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89"/>
      <c r="C485" s="89"/>
      <c r="D485" s="89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89"/>
      <c r="C486" s="89"/>
      <c r="D486" s="89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89"/>
      <c r="C487" s="89"/>
      <c r="D487" s="89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89"/>
      <c r="C488" s="89"/>
      <c r="D488" s="89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89"/>
      <c r="C489" s="89"/>
      <c r="D489" s="89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89"/>
      <c r="C490" s="89"/>
      <c r="D490" s="89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89"/>
      <c r="C491" s="89"/>
      <c r="D491" s="89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89"/>
      <c r="C492" s="89"/>
      <c r="D492" s="89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89"/>
      <c r="C493" s="89"/>
      <c r="D493" s="89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89"/>
      <c r="C494" s="89"/>
      <c r="D494" s="89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89"/>
      <c r="C495" s="89"/>
      <c r="D495" s="89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89"/>
      <c r="C496" s="89"/>
      <c r="D496" s="89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89"/>
      <c r="C497" s="89"/>
      <c r="D497" s="89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89"/>
      <c r="C498" s="89"/>
      <c r="D498" s="89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89"/>
      <c r="C499" s="89"/>
      <c r="D499" s="89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89"/>
      <c r="C500" s="89"/>
      <c r="D500" s="89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89"/>
      <c r="C501" s="89"/>
      <c r="D501" s="89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89"/>
      <c r="C502" s="89"/>
      <c r="D502" s="89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89"/>
      <c r="C503" s="89"/>
      <c r="D503" s="89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89"/>
      <c r="C504" s="89"/>
      <c r="D504" s="89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89"/>
      <c r="C505" s="89"/>
      <c r="D505" s="89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89"/>
      <c r="C506" s="89"/>
      <c r="D506" s="89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89"/>
      <c r="C507" s="89"/>
      <c r="D507" s="89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89"/>
      <c r="C508" s="89"/>
      <c r="D508" s="89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89"/>
      <c r="C509" s="89"/>
      <c r="D509" s="89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89"/>
      <c r="C510" s="89"/>
      <c r="D510" s="89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89"/>
      <c r="C511" s="89"/>
      <c r="D511" s="89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89"/>
      <c r="C512" s="89"/>
      <c r="D512" s="89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89"/>
      <c r="C513" s="89"/>
      <c r="D513" s="89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89"/>
      <c r="C514" s="89"/>
      <c r="D514" s="89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89"/>
      <c r="C515" s="89"/>
      <c r="D515" s="89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89"/>
      <c r="C516" s="89"/>
      <c r="D516" s="89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89"/>
      <c r="C517" s="89"/>
      <c r="D517" s="89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89"/>
      <c r="C518" s="89"/>
      <c r="D518" s="89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89"/>
      <c r="C519" s="89"/>
      <c r="D519" s="89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89"/>
      <c r="C520" s="89"/>
      <c r="D520" s="89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89"/>
      <c r="C521" s="89"/>
      <c r="D521" s="89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89"/>
      <c r="C522" s="89"/>
      <c r="D522" s="89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89"/>
      <c r="C523" s="89"/>
      <c r="D523" s="89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89"/>
      <c r="C524" s="89"/>
      <c r="D524" s="89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89"/>
      <c r="C525" s="89"/>
      <c r="D525" s="89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89"/>
      <c r="C526" s="89"/>
      <c r="D526" s="89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89"/>
      <c r="C527" s="89"/>
      <c r="D527" s="89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89"/>
      <c r="C528" s="89"/>
      <c r="D528" s="89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89"/>
      <c r="C529" s="89"/>
      <c r="D529" s="89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89"/>
      <c r="C530" s="89"/>
      <c r="D530" s="89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89"/>
      <c r="C531" s="89"/>
      <c r="D531" s="89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89"/>
      <c r="C532" s="89"/>
      <c r="D532" s="89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89"/>
      <c r="C533" s="89"/>
      <c r="D533" s="89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89"/>
      <c r="C534" s="89"/>
      <c r="D534" s="89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89"/>
      <c r="C535" s="89"/>
      <c r="D535" s="89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89"/>
      <c r="C536" s="89"/>
      <c r="D536" s="89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89"/>
      <c r="C537" s="89"/>
      <c r="D537" s="89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89"/>
      <c r="C538" s="89"/>
      <c r="D538" s="89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89"/>
      <c r="C539" s="89"/>
      <c r="D539" s="89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89"/>
      <c r="C540" s="89"/>
      <c r="D540" s="89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89"/>
      <c r="C541" s="89"/>
      <c r="D541" s="89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89"/>
      <c r="C542" s="89"/>
      <c r="D542" s="89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89"/>
      <c r="C543" s="89"/>
      <c r="D543" s="89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89"/>
      <c r="C544" s="89"/>
      <c r="D544" s="89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89"/>
      <c r="C545" s="89"/>
      <c r="D545" s="89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89"/>
      <c r="C546" s="89"/>
      <c r="D546" s="89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89"/>
      <c r="C547" s="89"/>
      <c r="D547" s="89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89"/>
      <c r="C548" s="89"/>
      <c r="D548" s="89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89"/>
      <c r="C549" s="89"/>
      <c r="D549" s="89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89"/>
      <c r="C550" s="89"/>
      <c r="D550" s="89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89"/>
      <c r="C551" s="89"/>
      <c r="D551" s="89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89"/>
      <c r="C552" s="89"/>
      <c r="D552" s="89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89"/>
      <c r="C553" s="89"/>
      <c r="D553" s="89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89"/>
      <c r="C554" s="89"/>
      <c r="D554" s="89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89"/>
      <c r="C555" s="89"/>
      <c r="D555" s="89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89"/>
      <c r="C556" s="89"/>
      <c r="D556" s="89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89"/>
      <c r="C557" s="89"/>
      <c r="D557" s="89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89"/>
      <c r="C558" s="89"/>
      <c r="D558" s="89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89"/>
      <c r="C559" s="89"/>
      <c r="D559" s="89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89"/>
      <c r="C560" s="89"/>
      <c r="D560" s="89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89"/>
      <c r="C561" s="89"/>
      <c r="D561" s="89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89"/>
      <c r="C562" s="89"/>
      <c r="D562" s="89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89"/>
      <c r="C563" s="89"/>
      <c r="D563" s="89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89"/>
      <c r="C564" s="89"/>
      <c r="D564" s="89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89"/>
      <c r="C565" s="89"/>
      <c r="D565" s="89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89"/>
      <c r="C566" s="89"/>
      <c r="D566" s="89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89"/>
      <c r="C567" s="89"/>
      <c r="D567" s="89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89"/>
      <c r="C568" s="89"/>
      <c r="D568" s="89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89"/>
      <c r="C569" s="89"/>
      <c r="D569" s="89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89"/>
      <c r="C570" s="89"/>
      <c r="D570" s="89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89"/>
      <c r="C571" s="89"/>
      <c r="D571" s="89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89"/>
      <c r="C572" s="89"/>
      <c r="D572" s="89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89"/>
      <c r="C573" s="89"/>
      <c r="D573" s="89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89"/>
      <c r="C574" s="89"/>
      <c r="D574" s="89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89"/>
      <c r="C575" s="89"/>
      <c r="D575" s="89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89"/>
      <c r="C576" s="89"/>
      <c r="D576" s="89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89"/>
      <c r="C577" s="89"/>
      <c r="D577" s="89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89"/>
      <c r="C578" s="89"/>
      <c r="D578" s="89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89"/>
      <c r="C579" s="89"/>
      <c r="D579" s="89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89"/>
      <c r="C580" s="89"/>
      <c r="D580" s="89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89"/>
      <c r="C581" s="89"/>
      <c r="D581" s="89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89"/>
      <c r="C582" s="89"/>
      <c r="D582" s="89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89"/>
      <c r="C583" s="89"/>
      <c r="D583" s="89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89"/>
      <c r="C584" s="89"/>
      <c r="D584" s="89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89"/>
      <c r="C585" s="89"/>
      <c r="D585" s="89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89"/>
      <c r="C586" s="89"/>
      <c r="D586" s="89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89"/>
      <c r="C587" s="89"/>
      <c r="D587" s="89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89"/>
      <c r="C588" s="89"/>
      <c r="D588" s="89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89"/>
      <c r="C589" s="89"/>
      <c r="D589" s="89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89"/>
      <c r="C590" s="89"/>
      <c r="D590" s="89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89"/>
      <c r="C591" s="89"/>
      <c r="D591" s="89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89"/>
      <c r="C592" s="89"/>
      <c r="D592" s="89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89"/>
      <c r="C593" s="89"/>
      <c r="D593" s="89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89"/>
      <c r="C594" s="89"/>
      <c r="D594" s="89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89"/>
      <c r="C595" s="89"/>
      <c r="D595" s="89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89"/>
      <c r="C596" s="89"/>
      <c r="D596" s="89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89"/>
      <c r="C597" s="89"/>
      <c r="D597" s="89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89"/>
      <c r="C598" s="89"/>
      <c r="D598" s="89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89"/>
      <c r="C599" s="89"/>
      <c r="D599" s="89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89"/>
      <c r="C600" s="89"/>
      <c r="D600" s="89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89"/>
      <c r="C601" s="89"/>
      <c r="D601" s="89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89"/>
      <c r="C602" s="89"/>
      <c r="D602" s="89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89"/>
      <c r="C603" s="89"/>
      <c r="D603" s="89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89"/>
      <c r="C604" s="89"/>
      <c r="D604" s="89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89"/>
      <c r="C605" s="89"/>
      <c r="D605" s="89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89"/>
      <c r="C606" s="89"/>
      <c r="D606" s="89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89"/>
      <c r="C607" s="89"/>
      <c r="D607" s="89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89"/>
      <c r="C608" s="89"/>
      <c r="D608" s="89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89"/>
      <c r="C609" s="89"/>
      <c r="D609" s="89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89"/>
      <c r="C610" s="89"/>
      <c r="D610" s="89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89"/>
      <c r="C611" s="89"/>
      <c r="D611" s="89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89"/>
      <c r="C612" s="89"/>
      <c r="D612" s="89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89"/>
      <c r="C613" s="89"/>
      <c r="D613" s="89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89"/>
      <c r="C614" s="89"/>
      <c r="D614" s="89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89"/>
      <c r="C615" s="89"/>
      <c r="D615" s="89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89"/>
      <c r="C616" s="89"/>
      <c r="D616" s="89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89"/>
      <c r="C617" s="89"/>
      <c r="D617" s="89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89"/>
      <c r="C618" s="89"/>
      <c r="D618" s="89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89"/>
      <c r="C619" s="89"/>
      <c r="D619" s="89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89"/>
      <c r="C620" s="89"/>
      <c r="D620" s="89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89"/>
      <c r="C621" s="89"/>
      <c r="D621" s="89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89"/>
      <c r="C622" s="89"/>
      <c r="D622" s="89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89"/>
      <c r="C623" s="89"/>
      <c r="D623" s="89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89"/>
      <c r="C624" s="89"/>
      <c r="D624" s="89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89"/>
      <c r="C625" s="89"/>
      <c r="D625" s="89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89"/>
      <c r="C626" s="89"/>
      <c r="D626" s="89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89"/>
      <c r="C627" s="89"/>
      <c r="D627" s="89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89"/>
      <c r="C628" s="89"/>
      <c r="D628" s="89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89"/>
      <c r="C629" s="89"/>
      <c r="D629" s="89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89"/>
      <c r="C630" s="89"/>
      <c r="D630" s="89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89"/>
      <c r="C631" s="89"/>
      <c r="D631" s="89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89"/>
      <c r="C632" s="89"/>
      <c r="D632" s="89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89"/>
      <c r="C633" s="89"/>
      <c r="D633" s="89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89"/>
      <c r="C634" s="89"/>
      <c r="D634" s="89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89"/>
      <c r="C635" s="89"/>
      <c r="D635" s="89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89"/>
      <c r="C636" s="89"/>
      <c r="D636" s="89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89"/>
      <c r="C637" s="89"/>
      <c r="D637" s="89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89"/>
      <c r="C638" s="89"/>
      <c r="D638" s="89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89"/>
      <c r="C639" s="89"/>
      <c r="D639" s="89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89"/>
      <c r="C640" s="89"/>
      <c r="D640" s="89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89"/>
      <c r="C641" s="89"/>
      <c r="D641" s="89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89"/>
      <c r="C642" s="89"/>
      <c r="D642" s="89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89"/>
      <c r="C643" s="89"/>
      <c r="D643" s="89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89"/>
      <c r="C644" s="89"/>
      <c r="D644" s="89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89"/>
      <c r="C645" s="89"/>
      <c r="D645" s="89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89"/>
      <c r="C646" s="89"/>
      <c r="D646" s="89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89"/>
      <c r="C647" s="89"/>
      <c r="D647" s="89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89"/>
      <c r="C648" s="89"/>
      <c r="D648" s="89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89"/>
      <c r="C649" s="89"/>
      <c r="D649" s="89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89"/>
      <c r="C650" s="89"/>
      <c r="D650" s="89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89"/>
      <c r="C651" s="89"/>
      <c r="D651" s="89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89"/>
      <c r="C652" s="89"/>
      <c r="D652" s="89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89"/>
      <c r="C653" s="89"/>
      <c r="D653" s="89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89"/>
      <c r="C654" s="89"/>
      <c r="D654" s="89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89"/>
      <c r="C655" s="89"/>
      <c r="D655" s="89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89"/>
      <c r="C656" s="89"/>
      <c r="D656" s="89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89"/>
      <c r="C657" s="89"/>
      <c r="D657" s="89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89"/>
      <c r="C658" s="89"/>
      <c r="D658" s="89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89"/>
      <c r="C659" s="89"/>
      <c r="D659" s="89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89"/>
      <c r="C660" s="89"/>
      <c r="D660" s="89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89"/>
      <c r="C661" s="89"/>
      <c r="D661" s="89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89"/>
      <c r="C662" s="89"/>
      <c r="D662" s="89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89"/>
      <c r="C663" s="89"/>
      <c r="D663" s="89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89"/>
      <c r="C664" s="89"/>
      <c r="D664" s="89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89"/>
      <c r="C665" s="89"/>
      <c r="D665" s="89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89"/>
      <c r="C666" s="89"/>
      <c r="D666" s="89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89"/>
      <c r="C667" s="89"/>
      <c r="D667" s="89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89"/>
      <c r="C668" s="89"/>
      <c r="D668" s="89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89"/>
      <c r="C669" s="89"/>
      <c r="D669" s="89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89"/>
      <c r="C670" s="89"/>
      <c r="D670" s="89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89"/>
      <c r="C671" s="89"/>
      <c r="D671" s="89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89"/>
      <c r="C672" s="89"/>
      <c r="D672" s="89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89"/>
      <c r="C673" s="89"/>
      <c r="D673" s="89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89"/>
      <c r="C674" s="89"/>
      <c r="D674" s="89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89"/>
      <c r="C675" s="89"/>
      <c r="D675" s="89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89"/>
      <c r="C676" s="89"/>
      <c r="D676" s="89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89"/>
      <c r="C677" s="89"/>
      <c r="D677" s="89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89"/>
      <c r="C678" s="89"/>
      <c r="D678" s="89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89"/>
      <c r="C679" s="89"/>
      <c r="D679" s="89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89"/>
      <c r="C680" s="89"/>
      <c r="D680" s="89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89"/>
      <c r="C681" s="89"/>
      <c r="D681" s="89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89"/>
      <c r="C682" s="89"/>
      <c r="D682" s="89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89"/>
      <c r="C683" s="89"/>
      <c r="D683" s="89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89"/>
      <c r="C684" s="89"/>
      <c r="D684" s="89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89"/>
      <c r="C685" s="89"/>
      <c r="D685" s="89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89"/>
      <c r="C686" s="89"/>
      <c r="D686" s="89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89"/>
      <c r="C687" s="89"/>
      <c r="D687" s="89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89"/>
      <c r="C688" s="89"/>
      <c r="D688" s="89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89"/>
      <c r="C689" s="89"/>
      <c r="D689" s="89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89"/>
      <c r="C690" s="89"/>
      <c r="D690" s="89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89"/>
      <c r="C691" s="89"/>
      <c r="D691" s="89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89"/>
      <c r="C692" s="89"/>
      <c r="D692" s="89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89"/>
      <c r="C693" s="89"/>
      <c r="D693" s="89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89"/>
      <c r="C694" s="89"/>
      <c r="D694" s="89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89"/>
      <c r="C695" s="89"/>
      <c r="D695" s="89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89"/>
      <c r="C696" s="89"/>
      <c r="D696" s="89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89"/>
      <c r="C697" s="89"/>
      <c r="D697" s="89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89"/>
      <c r="C698" s="89"/>
      <c r="D698" s="89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89"/>
      <c r="C699" s="89"/>
      <c r="D699" s="89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89"/>
      <c r="C700" s="89"/>
      <c r="D700" s="89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89"/>
      <c r="C701" s="89"/>
      <c r="D701" s="89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89"/>
      <c r="C702" s="89"/>
      <c r="D702" s="89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89"/>
      <c r="C703" s="89"/>
      <c r="D703" s="89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89"/>
      <c r="C704" s="89"/>
      <c r="D704" s="89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89"/>
      <c r="C705" s="89"/>
      <c r="D705" s="89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89"/>
      <c r="C706" s="89"/>
      <c r="D706" s="89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89"/>
      <c r="C707" s="89"/>
      <c r="D707" s="89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89"/>
      <c r="C708" s="89"/>
      <c r="D708" s="89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89"/>
      <c r="C709" s="89"/>
      <c r="D709" s="89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89"/>
      <c r="C710" s="89"/>
      <c r="D710" s="89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89"/>
      <c r="C711" s="89"/>
      <c r="D711" s="89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89"/>
      <c r="C712" s="89"/>
      <c r="D712" s="89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89"/>
      <c r="C713" s="89"/>
      <c r="D713" s="89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89"/>
      <c r="C714" s="89"/>
      <c r="D714" s="89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89"/>
      <c r="C715" s="89"/>
      <c r="D715" s="89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89"/>
      <c r="C716" s="89"/>
      <c r="D716" s="89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89"/>
      <c r="C717" s="89"/>
      <c r="D717" s="89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89"/>
      <c r="C718" s="89"/>
      <c r="D718" s="89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89"/>
      <c r="C719" s="89"/>
      <c r="D719" s="89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89"/>
      <c r="C720" s="89"/>
      <c r="D720" s="89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89"/>
      <c r="C721" s="89"/>
      <c r="D721" s="89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89"/>
      <c r="C722" s="89"/>
      <c r="D722" s="89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89"/>
      <c r="C723" s="89"/>
      <c r="D723" s="89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89"/>
      <c r="C724" s="89"/>
      <c r="D724" s="89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89"/>
      <c r="C725" s="89"/>
      <c r="D725" s="89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89"/>
      <c r="C726" s="89"/>
      <c r="D726" s="89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89"/>
      <c r="C727" s="89"/>
      <c r="D727" s="89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89"/>
      <c r="C728" s="89"/>
      <c r="D728" s="89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89"/>
      <c r="C729" s="89"/>
      <c r="D729" s="89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89"/>
      <c r="C730" s="89"/>
      <c r="D730" s="89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89"/>
      <c r="C731" s="89"/>
      <c r="D731" s="89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89"/>
      <c r="C732" s="89"/>
      <c r="D732" s="89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89"/>
      <c r="C733" s="89"/>
      <c r="D733" s="89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89"/>
      <c r="C734" s="89"/>
      <c r="D734" s="89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89"/>
      <c r="C735" s="89"/>
      <c r="D735" s="89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89"/>
      <c r="C736" s="89"/>
      <c r="D736" s="89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89"/>
      <c r="C737" s="89"/>
      <c r="D737" s="89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89"/>
      <c r="C738" s="89"/>
      <c r="D738" s="89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89"/>
      <c r="C739" s="89"/>
      <c r="D739" s="89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89"/>
      <c r="C740" s="89"/>
      <c r="D740" s="89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89"/>
      <c r="C741" s="89"/>
      <c r="D741" s="89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89"/>
      <c r="C742" s="89"/>
      <c r="D742" s="89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89"/>
      <c r="C743" s="89"/>
      <c r="D743" s="89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89"/>
      <c r="C744" s="89"/>
      <c r="D744" s="89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89"/>
      <c r="C745" s="89"/>
      <c r="D745" s="89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89"/>
      <c r="C746" s="89"/>
      <c r="D746" s="89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89"/>
      <c r="C747" s="89"/>
      <c r="D747" s="89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89"/>
      <c r="C748" s="89"/>
      <c r="D748" s="89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89"/>
      <c r="C749" s="89"/>
      <c r="D749" s="89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89"/>
      <c r="C750" s="89"/>
      <c r="D750" s="89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89"/>
      <c r="C751" s="89"/>
      <c r="D751" s="89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89"/>
      <c r="C752" s="89"/>
      <c r="D752" s="89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89"/>
      <c r="C753" s="89"/>
      <c r="D753" s="89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89"/>
      <c r="C754" s="89"/>
      <c r="D754" s="89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89"/>
      <c r="C755" s="89"/>
      <c r="D755" s="89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89"/>
      <c r="C756" s="89"/>
      <c r="D756" s="89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89"/>
      <c r="C757" s="89"/>
      <c r="D757" s="89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89"/>
      <c r="C758" s="89"/>
      <c r="D758" s="89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89"/>
      <c r="C759" s="89"/>
      <c r="D759" s="89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89"/>
      <c r="C760" s="89"/>
      <c r="D760" s="89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89"/>
      <c r="C761" s="89"/>
      <c r="D761" s="89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89"/>
      <c r="C762" s="89"/>
      <c r="D762" s="89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89"/>
      <c r="C763" s="89"/>
      <c r="D763" s="89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89"/>
      <c r="C764" s="89"/>
      <c r="D764" s="89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89"/>
      <c r="C765" s="89"/>
      <c r="D765" s="89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89"/>
      <c r="C766" s="89"/>
      <c r="D766" s="89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89"/>
      <c r="C767" s="89"/>
      <c r="D767" s="89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89"/>
      <c r="C768" s="89"/>
      <c r="D768" s="89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89"/>
      <c r="C769" s="89"/>
      <c r="D769" s="89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89"/>
      <c r="C770" s="89"/>
      <c r="D770" s="89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89"/>
      <c r="C771" s="89"/>
      <c r="D771" s="89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89"/>
      <c r="C772" s="89"/>
      <c r="D772" s="89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89"/>
      <c r="C773" s="89"/>
      <c r="D773" s="89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89"/>
      <c r="C774" s="89"/>
      <c r="D774" s="89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89"/>
      <c r="C775" s="89"/>
      <c r="D775" s="89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89"/>
      <c r="C776" s="89"/>
      <c r="D776" s="89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89"/>
      <c r="C777" s="89"/>
      <c r="D777" s="89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89"/>
      <c r="C778" s="89"/>
      <c r="D778" s="89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89"/>
      <c r="C779" s="89"/>
      <c r="D779" s="89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89"/>
      <c r="C780" s="89"/>
      <c r="D780" s="89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89"/>
      <c r="C781" s="89"/>
      <c r="D781" s="89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89"/>
      <c r="C782" s="89"/>
      <c r="D782" s="89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89"/>
      <c r="C783" s="89"/>
      <c r="D783" s="89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89"/>
      <c r="C784" s="89"/>
      <c r="D784" s="89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89"/>
      <c r="C785" s="89"/>
      <c r="D785" s="89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89"/>
      <c r="C786" s="89"/>
      <c r="D786" s="89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89"/>
      <c r="C787" s="89"/>
      <c r="D787" s="89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89"/>
      <c r="C788" s="89"/>
      <c r="D788" s="89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89"/>
      <c r="C789" s="89"/>
      <c r="D789" s="89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89"/>
      <c r="C790" s="89"/>
      <c r="D790" s="89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89"/>
      <c r="C791" s="89"/>
      <c r="D791" s="89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89"/>
      <c r="C792" s="89"/>
      <c r="D792" s="89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89"/>
      <c r="C793" s="89"/>
      <c r="D793" s="89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89"/>
      <c r="C794" s="89"/>
      <c r="D794" s="89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89"/>
      <c r="C795" s="89"/>
      <c r="D795" s="89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89"/>
      <c r="C796" s="89"/>
      <c r="D796" s="89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89"/>
      <c r="C797" s="89"/>
      <c r="D797" s="89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89"/>
      <c r="C798" s="89"/>
      <c r="D798" s="89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89"/>
      <c r="C799" s="89"/>
      <c r="D799" s="89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89"/>
      <c r="C800" s="89"/>
      <c r="D800" s="89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89"/>
      <c r="C801" s="89"/>
      <c r="D801" s="89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89"/>
      <c r="C802" s="89"/>
      <c r="D802" s="89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89"/>
      <c r="C803" s="89"/>
      <c r="D803" s="89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89"/>
      <c r="C804" s="89"/>
      <c r="D804" s="89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89"/>
      <c r="C805" s="89"/>
      <c r="D805" s="89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89"/>
      <c r="C806" s="89"/>
      <c r="D806" s="89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89"/>
      <c r="C807" s="89"/>
      <c r="D807" s="89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89"/>
      <c r="C808" s="89"/>
      <c r="D808" s="89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89"/>
      <c r="C809" s="89"/>
      <c r="D809" s="89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89"/>
      <c r="C810" s="89"/>
      <c r="D810" s="89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89"/>
      <c r="C811" s="89"/>
      <c r="D811" s="89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89"/>
      <c r="C812" s="89"/>
      <c r="D812" s="89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89"/>
      <c r="C813" s="89"/>
      <c r="D813" s="89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89"/>
      <c r="C814" s="89"/>
      <c r="D814" s="89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89"/>
      <c r="C815" s="89"/>
      <c r="D815" s="89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89"/>
      <c r="C816" s="89"/>
      <c r="D816" s="89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89"/>
      <c r="C817" s="89"/>
      <c r="D817" s="89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89"/>
      <c r="C818" s="89"/>
      <c r="D818" s="89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89"/>
      <c r="C819" s="89"/>
      <c r="D819" s="89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89"/>
      <c r="C820" s="89"/>
      <c r="D820" s="89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89"/>
      <c r="C821" s="89"/>
      <c r="D821" s="89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89"/>
      <c r="C822" s="89"/>
      <c r="D822" s="89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89"/>
      <c r="C823" s="89"/>
      <c r="D823" s="89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89"/>
      <c r="C824" s="89"/>
      <c r="D824" s="89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89"/>
      <c r="C825" s="89"/>
      <c r="D825" s="89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89"/>
      <c r="C826" s="89"/>
      <c r="D826" s="89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89"/>
      <c r="C827" s="89"/>
      <c r="D827" s="89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89"/>
      <c r="C828" s="89"/>
      <c r="D828" s="89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89"/>
      <c r="C829" s="89"/>
      <c r="D829" s="89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89"/>
      <c r="C830" s="89"/>
      <c r="D830" s="89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89"/>
      <c r="C831" s="89"/>
      <c r="D831" s="89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89"/>
      <c r="C832" s="89"/>
      <c r="D832" s="89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89"/>
      <c r="C833" s="89"/>
      <c r="D833" s="89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89"/>
      <c r="C834" s="89"/>
      <c r="D834" s="89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89"/>
      <c r="C835" s="89"/>
      <c r="D835" s="89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89"/>
      <c r="C836" s="89"/>
      <c r="D836" s="89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89"/>
      <c r="C837" s="89"/>
      <c r="D837" s="89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89"/>
      <c r="C838" s="89"/>
      <c r="D838" s="89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89"/>
      <c r="C839" s="89"/>
      <c r="D839" s="89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89"/>
      <c r="C840" s="89"/>
      <c r="D840" s="89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89"/>
      <c r="C841" s="89"/>
      <c r="D841" s="89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89"/>
      <c r="C842" s="89"/>
      <c r="D842" s="89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89"/>
      <c r="C843" s="89"/>
      <c r="D843" s="89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89"/>
      <c r="C844" s="89"/>
      <c r="D844" s="89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89"/>
      <c r="C845" s="89"/>
      <c r="D845" s="89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89"/>
      <c r="C846" s="89"/>
      <c r="D846" s="89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89"/>
      <c r="C847" s="89"/>
      <c r="D847" s="89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89"/>
      <c r="C848" s="89"/>
      <c r="D848" s="89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89"/>
      <c r="C849" s="89"/>
      <c r="D849" s="89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89"/>
      <c r="C850" s="89"/>
      <c r="D850" s="89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89"/>
      <c r="C851" s="89"/>
      <c r="D851" s="89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89"/>
      <c r="C852" s="89"/>
      <c r="D852" s="89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89"/>
      <c r="C853" s="89"/>
      <c r="D853" s="89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89"/>
      <c r="C854" s="89"/>
      <c r="D854" s="89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89"/>
      <c r="C855" s="89"/>
      <c r="D855" s="89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89"/>
      <c r="C856" s="89"/>
      <c r="D856" s="89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89"/>
      <c r="C857" s="89"/>
      <c r="D857" s="89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89"/>
      <c r="C858" s="89"/>
      <c r="D858" s="89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89"/>
      <c r="C859" s="89"/>
      <c r="D859" s="89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89"/>
      <c r="C860" s="89"/>
      <c r="D860" s="89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89"/>
      <c r="C861" s="89"/>
      <c r="D861" s="89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89"/>
      <c r="C862" s="89"/>
      <c r="D862" s="89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89"/>
      <c r="C863" s="89"/>
      <c r="D863" s="89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89"/>
      <c r="C864" s="89"/>
      <c r="D864" s="89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89"/>
      <c r="C865" s="89"/>
      <c r="D865" s="89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89"/>
      <c r="C866" s="89"/>
      <c r="D866" s="89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89"/>
      <c r="C867" s="89"/>
      <c r="D867" s="89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89"/>
      <c r="C868" s="89"/>
      <c r="D868" s="89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89"/>
      <c r="C869" s="89"/>
      <c r="D869" s="89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89"/>
      <c r="C870" s="89"/>
      <c r="D870" s="89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89"/>
      <c r="C871" s="89"/>
      <c r="D871" s="89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89"/>
      <c r="C872" s="89"/>
      <c r="D872" s="89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89"/>
      <c r="C873" s="89"/>
      <c r="D873" s="89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89"/>
      <c r="C874" s="89"/>
      <c r="D874" s="89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89"/>
      <c r="C875" s="89"/>
      <c r="D875" s="89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89"/>
      <c r="C876" s="89"/>
      <c r="D876" s="89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89"/>
      <c r="C877" s="89"/>
      <c r="D877" s="89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89"/>
      <c r="C878" s="89"/>
      <c r="D878" s="89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89"/>
      <c r="C879" s="89"/>
      <c r="D879" s="89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89"/>
      <c r="C880" s="89"/>
      <c r="D880" s="89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89"/>
      <c r="C881" s="89"/>
      <c r="D881" s="89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89"/>
      <c r="C882" s="89"/>
      <c r="D882" s="89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89"/>
      <c r="C883" s="89"/>
      <c r="D883" s="89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89"/>
      <c r="C884" s="89"/>
      <c r="D884" s="89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89"/>
      <c r="C885" s="89"/>
      <c r="D885" s="89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89"/>
      <c r="C886" s="89"/>
      <c r="D886" s="89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89"/>
      <c r="C887" s="89"/>
      <c r="D887" s="89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89"/>
      <c r="C888" s="89"/>
      <c r="D888" s="89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89"/>
      <c r="C889" s="89"/>
      <c r="D889" s="89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89"/>
      <c r="C890" s="89"/>
      <c r="D890" s="89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89"/>
      <c r="C891" s="89"/>
      <c r="D891" s="89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89"/>
      <c r="C892" s="89"/>
      <c r="D892" s="89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89"/>
      <c r="C893" s="89"/>
      <c r="D893" s="89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89"/>
      <c r="C894" s="89"/>
      <c r="D894" s="89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89"/>
      <c r="C895" s="89"/>
      <c r="D895" s="89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89"/>
      <c r="C896" s="89"/>
      <c r="D896" s="89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89"/>
      <c r="C897" s="89"/>
      <c r="D897" s="89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89"/>
      <c r="C898" s="89"/>
      <c r="D898" s="89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89"/>
      <c r="C899" s="89"/>
      <c r="D899" s="89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89"/>
      <c r="C900" s="89"/>
      <c r="D900" s="89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89"/>
      <c r="C901" s="89"/>
      <c r="D901" s="89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89"/>
      <c r="C902" s="89"/>
      <c r="D902" s="89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89"/>
      <c r="C903" s="89"/>
      <c r="D903" s="89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89"/>
      <c r="C904" s="89"/>
      <c r="D904" s="89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89"/>
      <c r="C905" s="89"/>
      <c r="D905" s="89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89"/>
      <c r="C906" s="89"/>
      <c r="D906" s="89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89"/>
      <c r="C907" s="89"/>
      <c r="D907" s="89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89"/>
      <c r="C908" s="89"/>
      <c r="D908" s="89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89"/>
      <c r="C909" s="89"/>
      <c r="D909" s="89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89"/>
      <c r="C910" s="89"/>
      <c r="D910" s="89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89"/>
      <c r="C911" s="89"/>
      <c r="D911" s="89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89"/>
      <c r="C912" s="89"/>
      <c r="D912" s="89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89"/>
      <c r="C913" s="89"/>
      <c r="D913" s="89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89"/>
      <c r="C914" s="89"/>
      <c r="D914" s="89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89"/>
      <c r="C915" s="89"/>
      <c r="D915" s="89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89"/>
      <c r="C916" s="89"/>
      <c r="D916" s="89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89"/>
      <c r="C917" s="89"/>
      <c r="D917" s="89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89"/>
      <c r="C918" s="89"/>
      <c r="D918" s="89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89"/>
      <c r="C919" s="89"/>
      <c r="D919" s="89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89"/>
      <c r="C920" s="89"/>
      <c r="D920" s="89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89"/>
      <c r="C921" s="89"/>
      <c r="D921" s="89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89"/>
      <c r="C922" s="89"/>
      <c r="D922" s="89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89"/>
      <c r="C923" s="89"/>
      <c r="D923" s="89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89"/>
      <c r="C924" s="89"/>
      <c r="D924" s="89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89"/>
      <c r="C925" s="89"/>
      <c r="D925" s="89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89"/>
      <c r="C926" s="89"/>
      <c r="D926" s="89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89"/>
      <c r="C927" s="89"/>
      <c r="D927" s="89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89"/>
      <c r="C928" s="89"/>
      <c r="D928" s="89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89"/>
      <c r="C929" s="89"/>
      <c r="D929" s="89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89"/>
      <c r="C930" s="89"/>
      <c r="D930" s="89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89"/>
      <c r="C931" s="89"/>
      <c r="D931" s="89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89"/>
      <c r="C932" s="89"/>
      <c r="D932" s="89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89"/>
      <c r="C933" s="89"/>
      <c r="D933" s="89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89"/>
      <c r="C934" s="89"/>
      <c r="D934" s="89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89"/>
      <c r="C935" s="89"/>
      <c r="D935" s="89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89"/>
      <c r="C936" s="89"/>
      <c r="D936" s="89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89"/>
      <c r="C937" s="89"/>
      <c r="D937" s="89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89"/>
      <c r="C938" s="89"/>
      <c r="D938" s="89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89"/>
      <c r="C939" s="89"/>
      <c r="D939" s="89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89"/>
      <c r="C940" s="89"/>
      <c r="D940" s="89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89"/>
      <c r="C941" s="89"/>
      <c r="D941" s="89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89"/>
      <c r="C942" s="89"/>
      <c r="D942" s="89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89"/>
      <c r="C943" s="89"/>
      <c r="D943" s="89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89"/>
      <c r="C944" s="89"/>
      <c r="D944" s="89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89"/>
      <c r="C945" s="89"/>
      <c r="D945" s="89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89"/>
      <c r="C946" s="89"/>
      <c r="D946" s="89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89"/>
      <c r="C947" s="89"/>
      <c r="D947" s="89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89"/>
      <c r="C948" s="89"/>
      <c r="D948" s="89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89"/>
      <c r="C949" s="89"/>
      <c r="D949" s="89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89"/>
      <c r="C950" s="89"/>
      <c r="D950" s="89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89"/>
      <c r="C951" s="89"/>
      <c r="D951" s="89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89"/>
      <c r="C952" s="89"/>
      <c r="D952" s="89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89"/>
      <c r="C953" s="89"/>
      <c r="D953" s="89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89"/>
      <c r="C954" s="89"/>
      <c r="D954" s="89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89"/>
      <c r="C955" s="89"/>
      <c r="D955" s="89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89"/>
      <c r="C956" s="89"/>
      <c r="D956" s="89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89"/>
      <c r="C957" s="89"/>
      <c r="D957" s="89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89"/>
      <c r="C958" s="89"/>
      <c r="D958" s="89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89"/>
      <c r="C959" s="89"/>
      <c r="D959" s="89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89"/>
      <c r="C960" s="89"/>
      <c r="D960" s="89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89"/>
      <c r="C961" s="89"/>
      <c r="D961" s="89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89"/>
      <c r="C962" s="89"/>
      <c r="D962" s="89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89"/>
      <c r="C963" s="89"/>
      <c r="D963" s="89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89"/>
      <c r="C964" s="89"/>
      <c r="D964" s="89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89"/>
      <c r="C965" s="89"/>
      <c r="D965" s="89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89"/>
      <c r="C966" s="89"/>
      <c r="D966" s="89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89"/>
      <c r="C967" s="89"/>
      <c r="D967" s="89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89"/>
      <c r="C968" s="89"/>
      <c r="D968" s="89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89"/>
      <c r="C969" s="89"/>
      <c r="D969" s="89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89"/>
      <c r="C970" s="89"/>
      <c r="D970" s="89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89"/>
      <c r="C971" s="89"/>
      <c r="D971" s="89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89"/>
      <c r="C972" s="89"/>
      <c r="D972" s="89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89"/>
      <c r="C973" s="89"/>
      <c r="D973" s="89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89"/>
      <c r="C974" s="89"/>
      <c r="D974" s="89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89"/>
      <c r="C975" s="89"/>
      <c r="D975" s="89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89"/>
      <c r="C976" s="89"/>
      <c r="D976" s="89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89"/>
      <c r="C977" s="89"/>
      <c r="D977" s="89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89"/>
      <c r="C978" s="89"/>
      <c r="D978" s="89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89"/>
      <c r="C979" s="89"/>
      <c r="D979" s="89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89"/>
      <c r="C980" s="89"/>
      <c r="D980" s="89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89"/>
      <c r="C981" s="89"/>
      <c r="D981" s="89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89"/>
      <c r="C982" s="89"/>
      <c r="D982" s="89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89"/>
      <c r="C983" s="89"/>
      <c r="D983" s="89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89"/>
      <c r="C984" s="89"/>
      <c r="D984" s="89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89"/>
      <c r="C985" s="89"/>
      <c r="D985" s="89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89"/>
      <c r="C986" s="89"/>
      <c r="D986" s="89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89"/>
      <c r="C987" s="89"/>
      <c r="D987" s="89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89"/>
      <c r="C988" s="89"/>
      <c r="D988" s="89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89"/>
      <c r="C989" s="89"/>
      <c r="D989" s="89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89"/>
      <c r="C990" s="89"/>
      <c r="D990" s="89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89"/>
      <c r="C991" s="89"/>
      <c r="D991" s="89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89"/>
      <c r="C992" s="89"/>
      <c r="D992" s="89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89"/>
      <c r="C993" s="89"/>
      <c r="D993" s="89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89"/>
      <c r="C994" s="89"/>
      <c r="D994" s="89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89"/>
      <c r="C995" s="89"/>
      <c r="D995" s="89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89"/>
      <c r="C996" s="89"/>
      <c r="D996" s="89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89"/>
      <c r="C997" s="89"/>
      <c r="D997" s="89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89"/>
      <c r="C998" s="89"/>
      <c r="D998" s="89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89"/>
      <c r="C999" s="89"/>
      <c r="D999" s="89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30">
    <mergeCell ref="A1:F1"/>
    <mergeCell ref="G1:G2"/>
    <mergeCell ref="H1:H2"/>
    <mergeCell ref="G4:G5"/>
    <mergeCell ref="H4:H5"/>
    <mergeCell ref="G9:G10"/>
    <mergeCell ref="H9:I10"/>
    <mergeCell ref="G11:G12"/>
    <mergeCell ref="H11:I12"/>
    <mergeCell ref="G15:G16"/>
    <mergeCell ref="H15:I1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34:H34"/>
    <mergeCell ref="G35:H35"/>
    <mergeCell ref="G28:H28"/>
    <mergeCell ref="G29:H29"/>
    <mergeCell ref="G30:H30"/>
    <mergeCell ref="D31:E31"/>
    <mergeCell ref="G31:H31"/>
    <mergeCell ref="G32:H32"/>
    <mergeCell ref="G33:H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94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SUM(G7:G960)</f>
        <v>9440.148</v>
      </c>
      <c r="C2" s="103">
        <f>SUMIF(F8:F958,"MÉDIA MULTI-ANNONCEURS",G8:G958)</f>
        <v>817.5</v>
      </c>
      <c r="D2" s="104">
        <f>SUMIF(F8:F958,"PROMOTIONNEL",G8:G958)</f>
        <v>1887.684</v>
      </c>
      <c r="E2" s="105">
        <f>SUMIF(F8:F958,"DIST. PUBLICITAIRE SOLO",G8:G958)</f>
        <v>1814.402</v>
      </c>
      <c r="F2" s="106">
        <f>SUMIF(F8:F958,"AGENCE PUB",G8:G958)</f>
        <v>3828.525</v>
      </c>
      <c r="G2" s="107">
        <f>SUMIF(F8:F958,"AGENCE WEB",G8:G958)</f>
        <v>932.537</v>
      </c>
      <c r="H2" s="108">
        <f>SUMIF(F8:F958,"SERVICES IA",G8:G958)</f>
        <v>159.5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SUM(B8:B960)</f>
        <v>94401.48</v>
      </c>
      <c r="C4" s="103">
        <f>SUMIF(F8:F958,"MÉDIA MULTI-ANNONCEURS",B8:B958)</f>
        <v>8175</v>
      </c>
      <c r="D4" s="104">
        <f>SUMIF(F8:F958,"PROMOTIONNEL",B8:B958)</f>
        <v>18876.84</v>
      </c>
      <c r="E4" s="105">
        <f>SUMIF(F8:F958,"DIST. PUBLICITAIRE SOLO",B8:B958)</f>
        <v>18144.02</v>
      </c>
      <c r="F4" s="106">
        <f>SUMIF(F8:F958,"AGENCE PUB",B8:B958)</f>
        <v>38285.25</v>
      </c>
      <c r="G4" s="107">
        <f>SUMIF(F8:F958,"AGENCE WEB",B8:B958)</f>
        <v>9325.37</v>
      </c>
      <c r="H4" s="108">
        <f>SUMIF(F8:F958,"SERVICES IA",B8:B958)</f>
        <v>1595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 t="s">
        <v>50</v>
      </c>
      <c r="B8" s="113">
        <v>550.0</v>
      </c>
      <c r="C8" s="114" t="s">
        <v>51</v>
      </c>
      <c r="D8" s="115">
        <v>46023.0</v>
      </c>
      <c r="E8" s="116" t="s">
        <v>52</v>
      </c>
      <c r="F8" s="112" t="s">
        <v>53</v>
      </c>
      <c r="G8" s="90">
        <f t="shared" ref="G8:G164" si="1">B8*0.1</f>
        <v>55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 t="s">
        <v>54</v>
      </c>
      <c r="B9" s="113">
        <v>35.0</v>
      </c>
      <c r="C9" s="114" t="s">
        <v>55</v>
      </c>
      <c r="D9" s="115">
        <v>46023.0</v>
      </c>
      <c r="E9" s="116" t="s">
        <v>52</v>
      </c>
      <c r="F9" s="112" t="s">
        <v>53</v>
      </c>
      <c r="G9" s="90">
        <f t="shared" si="1"/>
        <v>3.5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 t="s">
        <v>56</v>
      </c>
      <c r="B10" s="113">
        <v>35.0</v>
      </c>
      <c r="C10" s="114" t="s">
        <v>57</v>
      </c>
      <c r="D10" s="115">
        <v>46023.0</v>
      </c>
      <c r="E10" s="116" t="s">
        <v>52</v>
      </c>
      <c r="F10" s="112" t="s">
        <v>53</v>
      </c>
      <c r="G10" s="90">
        <f t="shared" si="1"/>
        <v>3.5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 t="s">
        <v>58</v>
      </c>
      <c r="B11" s="113">
        <v>70.0</v>
      </c>
      <c r="C11" s="114" t="s">
        <v>59</v>
      </c>
      <c r="D11" s="115">
        <v>46023.0</v>
      </c>
      <c r="E11" s="116" t="s">
        <v>52</v>
      </c>
      <c r="F11" s="112" t="s">
        <v>53</v>
      </c>
      <c r="G11" s="90">
        <f t="shared" si="1"/>
        <v>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 t="s">
        <v>60</v>
      </c>
      <c r="B12" s="113">
        <v>450.0</v>
      </c>
      <c r="C12" s="114" t="s">
        <v>61</v>
      </c>
      <c r="D12" s="115">
        <v>46023.0</v>
      </c>
      <c r="E12" s="116" t="s">
        <v>52</v>
      </c>
      <c r="F12" s="112" t="s">
        <v>53</v>
      </c>
      <c r="G12" s="90">
        <f t="shared" si="1"/>
        <v>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 t="s">
        <v>62</v>
      </c>
      <c r="B13" s="113">
        <v>485.0</v>
      </c>
      <c r="C13" s="114" t="s">
        <v>63</v>
      </c>
      <c r="D13" s="115">
        <v>46023.0</v>
      </c>
      <c r="E13" s="116" t="s">
        <v>52</v>
      </c>
      <c r="F13" s="112" t="s">
        <v>53</v>
      </c>
      <c r="G13" s="90">
        <f t="shared" si="1"/>
        <v>48.5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 t="s">
        <v>64</v>
      </c>
      <c r="B14" s="113">
        <v>450.0</v>
      </c>
      <c r="C14" s="114" t="s">
        <v>65</v>
      </c>
      <c r="D14" s="115">
        <v>46023.0</v>
      </c>
      <c r="E14" s="116" t="s">
        <v>52</v>
      </c>
      <c r="F14" s="112" t="s">
        <v>53</v>
      </c>
      <c r="G14" s="90">
        <f t="shared" si="1"/>
        <v>45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 t="s">
        <v>66</v>
      </c>
      <c r="B15" s="113">
        <v>450.0</v>
      </c>
      <c r="C15" s="114" t="s">
        <v>67</v>
      </c>
      <c r="D15" s="115">
        <v>46023.0</v>
      </c>
      <c r="E15" s="116" t="s">
        <v>52</v>
      </c>
      <c r="F15" s="112" t="s">
        <v>68</v>
      </c>
      <c r="G15" s="90">
        <f t="shared" si="1"/>
        <v>45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2" t="s">
        <v>69</v>
      </c>
      <c r="B16" s="113">
        <v>1595.0</v>
      </c>
      <c r="C16" s="114" t="s">
        <v>70</v>
      </c>
      <c r="D16" s="115">
        <v>46023.0</v>
      </c>
      <c r="E16" s="116" t="s">
        <v>52</v>
      </c>
      <c r="F16" s="112" t="s">
        <v>24</v>
      </c>
      <c r="G16" s="90">
        <f t="shared" si="1"/>
        <v>159.5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2" t="s">
        <v>71</v>
      </c>
      <c r="B17" s="113">
        <v>450.0</v>
      </c>
      <c r="C17" s="114" t="s">
        <v>72</v>
      </c>
      <c r="D17" s="115">
        <v>46023.0</v>
      </c>
      <c r="E17" s="116" t="s">
        <v>52</v>
      </c>
      <c r="F17" s="112" t="s">
        <v>53</v>
      </c>
      <c r="G17" s="90">
        <f t="shared" si="1"/>
        <v>45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2" t="s">
        <v>73</v>
      </c>
      <c r="B18" s="113">
        <v>450.0</v>
      </c>
      <c r="C18" s="114" t="s">
        <v>74</v>
      </c>
      <c r="D18" s="115">
        <v>46023.0</v>
      </c>
      <c r="E18" s="116" t="s">
        <v>52</v>
      </c>
      <c r="F18" s="112" t="s">
        <v>53</v>
      </c>
      <c r="G18" s="90">
        <f t="shared" si="1"/>
        <v>45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2" t="s">
        <v>75</v>
      </c>
      <c r="B19" s="113">
        <v>35.0</v>
      </c>
      <c r="C19" s="114" t="s">
        <v>76</v>
      </c>
      <c r="D19" s="115">
        <v>46023.0</v>
      </c>
      <c r="E19" s="116" t="s">
        <v>52</v>
      </c>
      <c r="F19" s="112" t="s">
        <v>53</v>
      </c>
      <c r="G19" s="90">
        <f t="shared" si="1"/>
        <v>3.5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2" t="s">
        <v>75</v>
      </c>
      <c r="B20" s="113">
        <v>450.0</v>
      </c>
      <c r="C20" s="114" t="s">
        <v>77</v>
      </c>
      <c r="D20" s="115">
        <v>46023.0</v>
      </c>
      <c r="E20" s="116" t="s">
        <v>52</v>
      </c>
      <c r="F20" s="112" t="s">
        <v>68</v>
      </c>
      <c r="G20" s="90">
        <f t="shared" si="1"/>
        <v>45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2" t="s">
        <v>78</v>
      </c>
      <c r="B21" s="113">
        <v>450.0</v>
      </c>
      <c r="C21" s="114" t="s">
        <v>79</v>
      </c>
      <c r="D21" s="115">
        <v>46023.0</v>
      </c>
      <c r="E21" s="116" t="s">
        <v>52</v>
      </c>
      <c r="F21" s="112" t="s">
        <v>53</v>
      </c>
      <c r="G21" s="90">
        <f t="shared" si="1"/>
        <v>45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2" t="s">
        <v>80</v>
      </c>
      <c r="B22" s="113">
        <v>450.0</v>
      </c>
      <c r="C22" s="114" t="s">
        <v>81</v>
      </c>
      <c r="D22" s="115">
        <v>46023.0</v>
      </c>
      <c r="E22" s="116" t="s">
        <v>52</v>
      </c>
      <c r="F22" s="112" t="s">
        <v>53</v>
      </c>
      <c r="G22" s="90">
        <f t="shared" si="1"/>
        <v>45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2" t="s">
        <v>82</v>
      </c>
      <c r="B23" s="113">
        <v>450.0</v>
      </c>
      <c r="C23" s="114" t="s">
        <v>83</v>
      </c>
      <c r="D23" s="115">
        <v>46023.0</v>
      </c>
      <c r="E23" s="116" t="s">
        <v>52</v>
      </c>
      <c r="F23" s="112" t="s">
        <v>53</v>
      </c>
      <c r="G23" s="90">
        <f t="shared" si="1"/>
        <v>45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2" t="s">
        <v>84</v>
      </c>
      <c r="B24" s="113">
        <v>450.0</v>
      </c>
      <c r="C24" s="114" t="s">
        <v>85</v>
      </c>
      <c r="D24" s="115">
        <v>46023.0</v>
      </c>
      <c r="E24" s="116" t="s">
        <v>52</v>
      </c>
      <c r="F24" s="112" t="s">
        <v>68</v>
      </c>
      <c r="G24" s="90">
        <f t="shared" si="1"/>
        <v>45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2" t="s">
        <v>86</v>
      </c>
      <c r="B25" s="113">
        <v>550.0</v>
      </c>
      <c r="C25" s="114" t="s">
        <v>87</v>
      </c>
      <c r="D25" s="115">
        <v>46023.0</v>
      </c>
      <c r="E25" s="116" t="s">
        <v>52</v>
      </c>
      <c r="F25" s="112" t="s">
        <v>53</v>
      </c>
      <c r="G25" s="90">
        <f t="shared" si="1"/>
        <v>55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2" t="s">
        <v>56</v>
      </c>
      <c r="B26" s="113">
        <v>450.0</v>
      </c>
      <c r="C26" s="114" t="s">
        <v>88</v>
      </c>
      <c r="D26" s="115">
        <v>46023.0</v>
      </c>
      <c r="E26" s="116" t="s">
        <v>52</v>
      </c>
      <c r="F26" s="112" t="s">
        <v>53</v>
      </c>
      <c r="G26" s="90">
        <f t="shared" si="1"/>
        <v>45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2" t="s">
        <v>89</v>
      </c>
      <c r="B27" s="113">
        <v>750.0</v>
      </c>
      <c r="C27" s="114" t="s">
        <v>90</v>
      </c>
      <c r="D27" s="115">
        <v>46023.0</v>
      </c>
      <c r="E27" s="116" t="s">
        <v>52</v>
      </c>
      <c r="F27" s="112" t="s">
        <v>53</v>
      </c>
      <c r="G27" s="90">
        <f t="shared" si="1"/>
        <v>75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2" t="s">
        <v>54</v>
      </c>
      <c r="B28" s="113">
        <v>450.0</v>
      </c>
      <c r="C28" s="114" t="s">
        <v>91</v>
      </c>
      <c r="D28" s="115">
        <v>46023.0</v>
      </c>
      <c r="E28" s="116" t="s">
        <v>52</v>
      </c>
      <c r="F28" s="112" t="s">
        <v>53</v>
      </c>
      <c r="G28" s="90">
        <f t="shared" si="1"/>
        <v>45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2" t="s">
        <v>92</v>
      </c>
      <c r="B29" s="113">
        <v>450.0</v>
      </c>
      <c r="C29" s="114" t="s">
        <v>93</v>
      </c>
      <c r="D29" s="115">
        <v>46023.0</v>
      </c>
      <c r="E29" s="116" t="s">
        <v>52</v>
      </c>
      <c r="F29" s="112" t="s">
        <v>53</v>
      </c>
      <c r="G29" s="90">
        <f t="shared" si="1"/>
        <v>45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2" t="s">
        <v>94</v>
      </c>
      <c r="B30" s="113">
        <v>450.0</v>
      </c>
      <c r="C30" s="114" t="s">
        <v>95</v>
      </c>
      <c r="D30" s="115">
        <v>46023.0</v>
      </c>
      <c r="E30" s="116" t="s">
        <v>52</v>
      </c>
      <c r="F30" s="112" t="s">
        <v>53</v>
      </c>
      <c r="G30" s="90">
        <f t="shared" si="1"/>
        <v>45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2" t="s">
        <v>96</v>
      </c>
      <c r="B31" s="113">
        <v>450.0</v>
      </c>
      <c r="C31" s="114" t="s">
        <v>97</v>
      </c>
      <c r="D31" s="115">
        <v>46023.0</v>
      </c>
      <c r="E31" s="116" t="s">
        <v>52</v>
      </c>
      <c r="F31" s="112" t="s">
        <v>53</v>
      </c>
      <c r="G31" s="90">
        <f t="shared" si="1"/>
        <v>45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2" t="s">
        <v>98</v>
      </c>
      <c r="B32" s="113">
        <v>695.0</v>
      </c>
      <c r="C32" s="114" t="s">
        <v>99</v>
      </c>
      <c r="D32" s="115">
        <v>46023.0</v>
      </c>
      <c r="E32" s="116" t="s">
        <v>52</v>
      </c>
      <c r="F32" s="112" t="s">
        <v>53</v>
      </c>
      <c r="G32" s="90">
        <f t="shared" si="1"/>
        <v>69.5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2" t="s">
        <v>100</v>
      </c>
      <c r="B33" s="113">
        <v>450.0</v>
      </c>
      <c r="C33" s="114" t="s">
        <v>101</v>
      </c>
      <c r="D33" s="115">
        <v>46023.0</v>
      </c>
      <c r="E33" s="116" t="s">
        <v>52</v>
      </c>
      <c r="F33" s="112" t="s">
        <v>53</v>
      </c>
      <c r="G33" s="90">
        <f t="shared" si="1"/>
        <v>45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2" t="s">
        <v>102</v>
      </c>
      <c r="B34" s="113">
        <v>450.0</v>
      </c>
      <c r="C34" s="114" t="s">
        <v>103</v>
      </c>
      <c r="D34" s="115">
        <v>46023.0</v>
      </c>
      <c r="E34" s="116" t="s">
        <v>52</v>
      </c>
      <c r="F34" s="112" t="s">
        <v>53</v>
      </c>
      <c r="G34" s="90">
        <f t="shared" si="1"/>
        <v>45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2" t="s">
        <v>104</v>
      </c>
      <c r="B35" s="113">
        <v>450.0</v>
      </c>
      <c r="C35" s="114" t="s">
        <v>105</v>
      </c>
      <c r="D35" s="115">
        <v>46023.0</v>
      </c>
      <c r="E35" s="116" t="s">
        <v>52</v>
      </c>
      <c r="F35" s="112" t="s">
        <v>53</v>
      </c>
      <c r="G35" s="90">
        <f t="shared" si="1"/>
        <v>45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2" t="s">
        <v>106</v>
      </c>
      <c r="B36" s="113">
        <v>450.0</v>
      </c>
      <c r="C36" s="114" t="s">
        <v>107</v>
      </c>
      <c r="D36" s="115">
        <v>46023.0</v>
      </c>
      <c r="E36" s="116" t="s">
        <v>52</v>
      </c>
      <c r="F36" s="112" t="s">
        <v>53</v>
      </c>
      <c r="G36" s="90">
        <f t="shared" si="1"/>
        <v>45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2" t="s">
        <v>108</v>
      </c>
      <c r="B37" s="113">
        <v>450.0</v>
      </c>
      <c r="C37" s="114" t="s">
        <v>109</v>
      </c>
      <c r="D37" s="115">
        <v>46023.0</v>
      </c>
      <c r="E37" s="116" t="s">
        <v>52</v>
      </c>
      <c r="F37" s="112" t="s">
        <v>53</v>
      </c>
      <c r="G37" s="90">
        <f t="shared" si="1"/>
        <v>45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2" t="s">
        <v>110</v>
      </c>
      <c r="B38" s="113">
        <v>450.0</v>
      </c>
      <c r="C38" s="114" t="s">
        <v>111</v>
      </c>
      <c r="D38" s="115">
        <v>46023.0</v>
      </c>
      <c r="E38" s="116" t="s">
        <v>52</v>
      </c>
      <c r="F38" s="112" t="s">
        <v>53</v>
      </c>
      <c r="G38" s="90">
        <f t="shared" si="1"/>
        <v>45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2" t="s">
        <v>112</v>
      </c>
      <c r="B39" s="113">
        <v>450.0</v>
      </c>
      <c r="C39" s="114" t="s">
        <v>113</v>
      </c>
      <c r="D39" s="115">
        <v>46023.0</v>
      </c>
      <c r="E39" s="116" t="s">
        <v>52</v>
      </c>
      <c r="F39" s="112" t="s">
        <v>53</v>
      </c>
      <c r="G39" s="90">
        <f t="shared" si="1"/>
        <v>45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2" t="s">
        <v>114</v>
      </c>
      <c r="B40" s="113">
        <v>520.0</v>
      </c>
      <c r="C40" s="114" t="s">
        <v>115</v>
      </c>
      <c r="D40" s="115">
        <v>46023.0</v>
      </c>
      <c r="E40" s="116" t="s">
        <v>52</v>
      </c>
      <c r="F40" s="112" t="s">
        <v>53</v>
      </c>
      <c r="G40" s="90">
        <f t="shared" si="1"/>
        <v>52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2" t="s">
        <v>116</v>
      </c>
      <c r="B41" s="113">
        <v>450.0</v>
      </c>
      <c r="C41" s="114" t="s">
        <v>117</v>
      </c>
      <c r="D41" s="115">
        <v>46023.0</v>
      </c>
      <c r="E41" s="116" t="s">
        <v>52</v>
      </c>
      <c r="F41" s="112" t="s">
        <v>53</v>
      </c>
      <c r="G41" s="90">
        <f t="shared" si="1"/>
        <v>45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2" t="s">
        <v>50</v>
      </c>
      <c r="B42" s="113">
        <v>31.35</v>
      </c>
      <c r="C42" s="114" t="s">
        <v>118</v>
      </c>
      <c r="D42" s="115">
        <v>46028.0</v>
      </c>
      <c r="E42" s="116" t="s">
        <v>52</v>
      </c>
      <c r="F42" s="112" t="s">
        <v>68</v>
      </c>
      <c r="G42" s="90">
        <f t="shared" si="1"/>
        <v>3.135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2" t="s">
        <v>119</v>
      </c>
      <c r="B43" s="113">
        <v>1167.94</v>
      </c>
      <c r="C43" s="114" t="s">
        <v>120</v>
      </c>
      <c r="D43" s="115">
        <v>46036.0</v>
      </c>
      <c r="E43" s="116" t="s">
        <v>52</v>
      </c>
      <c r="F43" s="112" t="s">
        <v>21</v>
      </c>
      <c r="G43" s="90">
        <f t="shared" si="1"/>
        <v>116.794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2" t="s">
        <v>121</v>
      </c>
      <c r="B44" s="113">
        <v>1240.0</v>
      </c>
      <c r="C44" s="114" t="s">
        <v>122</v>
      </c>
      <c r="D44" s="115">
        <v>46037.0</v>
      </c>
      <c r="E44" s="116" t="s">
        <v>52</v>
      </c>
      <c r="F44" s="112" t="s">
        <v>20</v>
      </c>
      <c r="G44" s="90">
        <f t="shared" si="1"/>
        <v>124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2" t="s">
        <v>119</v>
      </c>
      <c r="B45" s="113">
        <v>62.0</v>
      </c>
      <c r="C45" s="114" t="s">
        <v>123</v>
      </c>
      <c r="D45" s="115">
        <v>46037.0</v>
      </c>
      <c r="E45" s="116" t="s">
        <v>52</v>
      </c>
      <c r="F45" s="112" t="s">
        <v>20</v>
      </c>
      <c r="G45" s="90">
        <f t="shared" si="1"/>
        <v>6.2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2" t="s">
        <v>82</v>
      </c>
      <c r="B46" s="113">
        <v>1125.0</v>
      </c>
      <c r="C46" s="114" t="s">
        <v>124</v>
      </c>
      <c r="D46" s="115">
        <v>46037.0</v>
      </c>
      <c r="E46" s="116" t="s">
        <v>52</v>
      </c>
      <c r="F46" s="112" t="s">
        <v>20</v>
      </c>
      <c r="G46" s="90">
        <f t="shared" si="1"/>
        <v>112.5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2" t="s">
        <v>125</v>
      </c>
      <c r="B47" s="113">
        <v>587.5</v>
      </c>
      <c r="C47" s="114" t="s">
        <v>126</v>
      </c>
      <c r="D47" s="115">
        <v>46037.0</v>
      </c>
      <c r="E47" s="116" t="s">
        <v>52</v>
      </c>
      <c r="F47" s="112" t="s">
        <v>20</v>
      </c>
      <c r="G47" s="90">
        <f t="shared" si="1"/>
        <v>58.75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2" t="s">
        <v>127</v>
      </c>
      <c r="B48" s="113">
        <v>-885.0</v>
      </c>
      <c r="C48" s="114" t="s">
        <v>128</v>
      </c>
      <c r="D48" s="115">
        <v>46037.0</v>
      </c>
      <c r="E48" s="116" t="s">
        <v>52</v>
      </c>
      <c r="F48" s="112" t="s">
        <v>20</v>
      </c>
      <c r="G48" s="90">
        <f t="shared" si="1"/>
        <v>-88.5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2" t="s">
        <v>50</v>
      </c>
      <c r="B49" s="113">
        <v>2066.25</v>
      </c>
      <c r="C49" s="114" t="s">
        <v>129</v>
      </c>
      <c r="D49" s="115">
        <v>46038.0</v>
      </c>
      <c r="E49" s="116" t="s">
        <v>52</v>
      </c>
      <c r="F49" s="112" t="s">
        <v>68</v>
      </c>
      <c r="G49" s="90">
        <f t="shared" si="1"/>
        <v>206.625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2" t="s">
        <v>130</v>
      </c>
      <c r="B50" s="113">
        <v>35.0</v>
      </c>
      <c r="C50" s="114" t="s">
        <v>131</v>
      </c>
      <c r="D50" s="115">
        <v>46038.0</v>
      </c>
      <c r="E50" s="116" t="s">
        <v>52</v>
      </c>
      <c r="F50" s="112" t="s">
        <v>53</v>
      </c>
      <c r="G50" s="90">
        <f t="shared" si="1"/>
        <v>3.5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12" t="s">
        <v>130</v>
      </c>
      <c r="B51" s="113">
        <v>406.25</v>
      </c>
      <c r="C51" s="114" t="s">
        <v>132</v>
      </c>
      <c r="D51" s="115">
        <v>46038.0</v>
      </c>
      <c r="E51" s="116" t="s">
        <v>52</v>
      </c>
      <c r="F51" s="112" t="s">
        <v>53</v>
      </c>
      <c r="G51" s="90">
        <f t="shared" si="1"/>
        <v>40.625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12" t="s">
        <v>94</v>
      </c>
      <c r="B52" s="113">
        <v>2569.19</v>
      </c>
      <c r="C52" s="114" t="s">
        <v>133</v>
      </c>
      <c r="D52" s="115">
        <v>46038.0</v>
      </c>
      <c r="E52" s="116" t="s">
        <v>52</v>
      </c>
      <c r="F52" s="112" t="s">
        <v>20</v>
      </c>
      <c r="G52" s="90">
        <f t="shared" si="1"/>
        <v>256.919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12" t="s">
        <v>110</v>
      </c>
      <c r="B53" s="113">
        <v>187.5</v>
      </c>
      <c r="C53" s="114" t="s">
        <v>134</v>
      </c>
      <c r="D53" s="115">
        <v>46038.0</v>
      </c>
      <c r="E53" s="116" t="s">
        <v>52</v>
      </c>
      <c r="F53" s="112" t="s">
        <v>53</v>
      </c>
      <c r="G53" s="90">
        <f t="shared" si="1"/>
        <v>18.75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12" t="s">
        <v>135</v>
      </c>
      <c r="B54" s="113">
        <v>1795.0</v>
      </c>
      <c r="C54" s="114" t="s">
        <v>136</v>
      </c>
      <c r="D54" s="115">
        <v>46038.0</v>
      </c>
      <c r="E54" s="116" t="s">
        <v>52</v>
      </c>
      <c r="F54" s="112" t="s">
        <v>41</v>
      </c>
      <c r="G54" s="90">
        <f t="shared" si="1"/>
        <v>179.5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12" t="s">
        <v>137</v>
      </c>
      <c r="B55" s="113">
        <v>995.0</v>
      </c>
      <c r="C55" s="114" t="s">
        <v>138</v>
      </c>
      <c r="D55" s="115">
        <v>46038.0</v>
      </c>
      <c r="E55" s="116" t="s">
        <v>52</v>
      </c>
      <c r="F55" s="112" t="s">
        <v>41</v>
      </c>
      <c r="G55" s="90">
        <f t="shared" si="1"/>
        <v>99.5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12" t="s">
        <v>139</v>
      </c>
      <c r="B56" s="113">
        <v>1610.0</v>
      </c>
      <c r="C56" s="114" t="s">
        <v>140</v>
      </c>
      <c r="D56" s="115">
        <v>46038.0</v>
      </c>
      <c r="E56" s="116" t="s">
        <v>52</v>
      </c>
      <c r="F56" s="112" t="s">
        <v>41</v>
      </c>
      <c r="G56" s="90">
        <f t="shared" si="1"/>
        <v>161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12" t="s">
        <v>64</v>
      </c>
      <c r="B57" s="113">
        <v>575.0</v>
      </c>
      <c r="C57" s="114" t="s">
        <v>141</v>
      </c>
      <c r="D57" s="115">
        <v>46038.0</v>
      </c>
      <c r="E57" s="116" t="s">
        <v>52</v>
      </c>
      <c r="F57" s="112" t="s">
        <v>41</v>
      </c>
      <c r="G57" s="90">
        <f t="shared" si="1"/>
        <v>57.5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12" t="s">
        <v>142</v>
      </c>
      <c r="B58" s="113">
        <v>3200.0</v>
      </c>
      <c r="C58" s="114" t="s">
        <v>143</v>
      </c>
      <c r="D58" s="115">
        <v>46038.0</v>
      </c>
      <c r="E58" s="116" t="s">
        <v>52</v>
      </c>
      <c r="F58" s="112" t="s">
        <v>41</v>
      </c>
      <c r="G58" s="90">
        <f t="shared" si="1"/>
        <v>320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12" t="s">
        <v>94</v>
      </c>
      <c r="B59" s="113">
        <v>834.0</v>
      </c>
      <c r="C59" s="114" t="s">
        <v>144</v>
      </c>
      <c r="D59" s="115">
        <v>46041.0</v>
      </c>
      <c r="E59" s="116" t="s">
        <v>52</v>
      </c>
      <c r="F59" s="112" t="s">
        <v>20</v>
      </c>
      <c r="G59" s="90">
        <f t="shared" si="1"/>
        <v>83.4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12" t="s">
        <v>94</v>
      </c>
      <c r="B60" s="113">
        <v>1070.0</v>
      </c>
      <c r="C60" s="114" t="s">
        <v>145</v>
      </c>
      <c r="D60" s="115">
        <v>46041.0</v>
      </c>
      <c r="E60" s="116" t="s">
        <v>52</v>
      </c>
      <c r="F60" s="112" t="s">
        <v>20</v>
      </c>
      <c r="G60" s="90">
        <f t="shared" si="1"/>
        <v>107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12" t="s">
        <v>112</v>
      </c>
      <c r="B61" s="113">
        <v>31.25</v>
      </c>
      <c r="C61" s="114" t="s">
        <v>146</v>
      </c>
      <c r="D61" s="115">
        <v>46041.0</v>
      </c>
      <c r="E61" s="116" t="s">
        <v>52</v>
      </c>
      <c r="F61" s="112" t="s">
        <v>53</v>
      </c>
      <c r="G61" s="90">
        <f t="shared" si="1"/>
        <v>3.125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12" t="s">
        <v>50</v>
      </c>
      <c r="B62" s="113">
        <v>1797.4</v>
      </c>
      <c r="C62" s="114" t="s">
        <v>147</v>
      </c>
      <c r="D62" s="115">
        <v>46042.0</v>
      </c>
      <c r="E62" s="116" t="s">
        <v>52</v>
      </c>
      <c r="F62" s="112" t="s">
        <v>68</v>
      </c>
      <c r="G62" s="90">
        <f t="shared" si="1"/>
        <v>179.74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12" t="s">
        <v>148</v>
      </c>
      <c r="B63" s="113">
        <v>649.82</v>
      </c>
      <c r="C63" s="114" t="s">
        <v>149</v>
      </c>
      <c r="D63" s="115">
        <v>46042.0</v>
      </c>
      <c r="E63" s="116" t="s">
        <v>52</v>
      </c>
      <c r="F63" s="112" t="s">
        <v>20</v>
      </c>
      <c r="G63" s="90">
        <f t="shared" si="1"/>
        <v>64.982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12" t="s">
        <v>69</v>
      </c>
      <c r="B64" s="113">
        <v>1350.0</v>
      </c>
      <c r="C64" s="114" t="s">
        <v>150</v>
      </c>
      <c r="D64" s="115">
        <v>46042.0</v>
      </c>
      <c r="E64" s="116" t="s">
        <v>52</v>
      </c>
      <c r="F64" s="112" t="s">
        <v>20</v>
      </c>
      <c r="G64" s="90">
        <f t="shared" si="1"/>
        <v>135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12" t="s">
        <v>151</v>
      </c>
      <c r="B65" s="113">
        <v>3125.0</v>
      </c>
      <c r="C65" s="114" t="s">
        <v>152</v>
      </c>
      <c r="D65" s="115">
        <v>46043.0</v>
      </c>
      <c r="E65" s="116" t="s">
        <v>52</v>
      </c>
      <c r="F65" s="112" t="s">
        <v>20</v>
      </c>
      <c r="G65" s="90">
        <f t="shared" si="1"/>
        <v>312.5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12" t="s">
        <v>151</v>
      </c>
      <c r="B66" s="113">
        <v>805.31</v>
      </c>
      <c r="C66" s="114" t="s">
        <v>153</v>
      </c>
      <c r="D66" s="115">
        <v>46043.0</v>
      </c>
      <c r="E66" s="116" t="s">
        <v>52</v>
      </c>
      <c r="F66" s="112" t="s">
        <v>20</v>
      </c>
      <c r="G66" s="90">
        <f t="shared" si="1"/>
        <v>80.531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12" t="s">
        <v>154</v>
      </c>
      <c r="B67" s="113">
        <v>1075.0</v>
      </c>
      <c r="C67" s="114" t="s">
        <v>155</v>
      </c>
      <c r="D67" s="115">
        <v>46043.0</v>
      </c>
      <c r="E67" s="116" t="s">
        <v>52</v>
      </c>
      <c r="F67" s="112" t="s">
        <v>53</v>
      </c>
      <c r="G67" s="90">
        <f t="shared" si="1"/>
        <v>107.5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12" t="s">
        <v>69</v>
      </c>
      <c r="B68" s="113">
        <v>564.82</v>
      </c>
      <c r="C68" s="114" t="s">
        <v>156</v>
      </c>
      <c r="D68" s="115">
        <v>46043.0</v>
      </c>
      <c r="E68" s="116" t="s">
        <v>52</v>
      </c>
      <c r="F68" s="112" t="s">
        <v>20</v>
      </c>
      <c r="G68" s="90">
        <f t="shared" si="1"/>
        <v>56.482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12" t="s">
        <v>69</v>
      </c>
      <c r="B69" s="113">
        <v>752.5</v>
      </c>
      <c r="C69" s="114" t="s">
        <v>157</v>
      </c>
      <c r="D69" s="115">
        <v>46043.0</v>
      </c>
      <c r="E69" s="116" t="s">
        <v>52</v>
      </c>
      <c r="F69" s="112" t="s">
        <v>20</v>
      </c>
      <c r="G69" s="90">
        <f t="shared" si="1"/>
        <v>75.25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12" t="s">
        <v>69</v>
      </c>
      <c r="B70" s="113">
        <v>1379.99</v>
      </c>
      <c r="C70" s="114" t="s">
        <v>158</v>
      </c>
      <c r="D70" s="115">
        <v>46043.0</v>
      </c>
      <c r="E70" s="116" t="s">
        <v>52</v>
      </c>
      <c r="F70" s="112" t="s">
        <v>20</v>
      </c>
      <c r="G70" s="90">
        <f t="shared" si="1"/>
        <v>137.999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12" t="s">
        <v>151</v>
      </c>
      <c r="B71" s="113">
        <v>336.5</v>
      </c>
      <c r="C71" s="114" t="s">
        <v>159</v>
      </c>
      <c r="D71" s="115">
        <v>46045.0</v>
      </c>
      <c r="E71" s="116" t="s">
        <v>52</v>
      </c>
      <c r="F71" s="112" t="s">
        <v>20</v>
      </c>
      <c r="G71" s="90">
        <f t="shared" si="1"/>
        <v>33.65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12" t="s">
        <v>160</v>
      </c>
      <c r="B72" s="113">
        <v>6928.04</v>
      </c>
      <c r="C72" s="114" t="s">
        <v>161</v>
      </c>
      <c r="D72" s="115">
        <v>46045.0</v>
      </c>
      <c r="E72" s="116" t="s">
        <v>52</v>
      </c>
      <c r="F72" s="112" t="s">
        <v>21</v>
      </c>
      <c r="G72" s="90">
        <f t="shared" si="1"/>
        <v>692.804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12" t="s">
        <v>160</v>
      </c>
      <c r="B73" s="113">
        <v>9428.04</v>
      </c>
      <c r="C73" s="114" t="s">
        <v>162</v>
      </c>
      <c r="D73" s="115">
        <v>46045.0</v>
      </c>
      <c r="E73" s="116" t="s">
        <v>52</v>
      </c>
      <c r="F73" s="112" t="s">
        <v>21</v>
      </c>
      <c r="G73" s="90">
        <f t="shared" si="1"/>
        <v>942.804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12" t="s">
        <v>163</v>
      </c>
      <c r="B74" s="113">
        <v>145.0</v>
      </c>
      <c r="C74" s="114" t="s">
        <v>164</v>
      </c>
      <c r="D74" s="115">
        <v>46045.0</v>
      </c>
      <c r="E74" s="116" t="s">
        <v>52</v>
      </c>
      <c r="F74" s="112" t="s">
        <v>20</v>
      </c>
      <c r="G74" s="90">
        <f t="shared" si="1"/>
        <v>14.5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12" t="s">
        <v>69</v>
      </c>
      <c r="B75" s="113">
        <v>253.85</v>
      </c>
      <c r="C75" s="114" t="s">
        <v>165</v>
      </c>
      <c r="D75" s="115">
        <v>46049.0</v>
      </c>
      <c r="E75" s="116" t="s">
        <v>52</v>
      </c>
      <c r="F75" s="112" t="s">
        <v>20</v>
      </c>
      <c r="G75" s="90">
        <f t="shared" si="1"/>
        <v>25.385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12" t="s">
        <v>56</v>
      </c>
      <c r="B76" s="113">
        <v>479.19</v>
      </c>
      <c r="C76" s="114" t="s">
        <v>166</v>
      </c>
      <c r="D76" s="115">
        <v>46049.0</v>
      </c>
      <c r="E76" s="116" t="s">
        <v>52</v>
      </c>
      <c r="F76" s="112" t="s">
        <v>20</v>
      </c>
      <c r="G76" s="90">
        <f t="shared" si="1"/>
        <v>47.919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12" t="s">
        <v>56</v>
      </c>
      <c r="B77" s="113">
        <v>241.08</v>
      </c>
      <c r="C77" s="114" t="s">
        <v>167</v>
      </c>
      <c r="D77" s="115">
        <v>46049.0</v>
      </c>
      <c r="E77" s="116" t="s">
        <v>52</v>
      </c>
      <c r="F77" s="112" t="s">
        <v>20</v>
      </c>
      <c r="G77" s="90">
        <f t="shared" si="1"/>
        <v>24.108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12" t="s">
        <v>168</v>
      </c>
      <c r="B78" s="113">
        <v>150.0</v>
      </c>
      <c r="C78" s="114" t="s">
        <v>169</v>
      </c>
      <c r="D78" s="115">
        <v>46050.0</v>
      </c>
      <c r="E78" s="116" t="s">
        <v>52</v>
      </c>
      <c r="F78" s="112" t="s">
        <v>68</v>
      </c>
      <c r="G78" s="90">
        <f t="shared" si="1"/>
        <v>15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12" t="s">
        <v>170</v>
      </c>
      <c r="B79" s="113">
        <v>620.0</v>
      </c>
      <c r="C79" s="114" t="s">
        <v>171</v>
      </c>
      <c r="D79" s="115">
        <v>46050.0</v>
      </c>
      <c r="E79" s="116" t="s">
        <v>52</v>
      </c>
      <c r="F79" s="112" t="s">
        <v>21</v>
      </c>
      <c r="G79" s="90">
        <f t="shared" si="1"/>
        <v>62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12" t="s">
        <v>69</v>
      </c>
      <c r="B80" s="113">
        <v>920.0</v>
      </c>
      <c r="C80" s="114" t="s">
        <v>172</v>
      </c>
      <c r="D80" s="115">
        <v>46051.0</v>
      </c>
      <c r="E80" s="116" t="s">
        <v>52</v>
      </c>
      <c r="F80" s="112" t="s">
        <v>20</v>
      </c>
      <c r="G80" s="90">
        <f t="shared" si="1"/>
        <v>92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12" t="s">
        <v>173</v>
      </c>
      <c r="B81" s="113">
        <v>1271.09</v>
      </c>
      <c r="C81" s="114" t="s">
        <v>174</v>
      </c>
      <c r="D81" s="115">
        <v>46052.0</v>
      </c>
      <c r="E81" s="116" t="s">
        <v>52</v>
      </c>
      <c r="F81" s="112" t="s">
        <v>20</v>
      </c>
      <c r="G81" s="90">
        <f t="shared" si="1"/>
        <v>127.109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12" t="s">
        <v>50</v>
      </c>
      <c r="B82" s="113">
        <v>2916.5</v>
      </c>
      <c r="C82" s="114" t="s">
        <v>175</v>
      </c>
      <c r="D82" s="115">
        <v>46052.0</v>
      </c>
      <c r="E82" s="116" t="s">
        <v>52</v>
      </c>
      <c r="F82" s="112" t="s">
        <v>68</v>
      </c>
      <c r="G82" s="90">
        <f t="shared" si="1"/>
        <v>291.65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12" t="s">
        <v>82</v>
      </c>
      <c r="B83" s="113">
        <v>3820.0</v>
      </c>
      <c r="C83" s="114" t="s">
        <v>176</v>
      </c>
      <c r="D83" s="115">
        <v>46053.0</v>
      </c>
      <c r="E83" s="116" t="s">
        <v>52</v>
      </c>
      <c r="F83" s="112" t="s">
        <v>53</v>
      </c>
      <c r="G83" s="90">
        <f t="shared" si="1"/>
        <v>382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12" t="s">
        <v>177</v>
      </c>
      <c r="B84" s="113">
        <v>750.0</v>
      </c>
      <c r="C84" s="114" t="s">
        <v>178</v>
      </c>
      <c r="D84" s="115">
        <v>46053.0</v>
      </c>
      <c r="E84" s="116" t="s">
        <v>52</v>
      </c>
      <c r="F84" s="112" t="s">
        <v>53</v>
      </c>
      <c r="G84" s="90">
        <f t="shared" si="1"/>
        <v>75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112" t="s">
        <v>179</v>
      </c>
      <c r="B85" s="113">
        <v>1264.0</v>
      </c>
      <c r="C85" s="114" t="s">
        <v>180</v>
      </c>
      <c r="D85" s="115">
        <v>46053.0</v>
      </c>
      <c r="E85" s="116" t="s">
        <v>52</v>
      </c>
      <c r="F85" s="112" t="s">
        <v>53</v>
      </c>
      <c r="G85" s="90">
        <f t="shared" si="1"/>
        <v>126.4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12" t="s">
        <v>181</v>
      </c>
      <c r="B86" s="113">
        <v>750.0</v>
      </c>
      <c r="C86" s="114" t="s">
        <v>182</v>
      </c>
      <c r="D86" s="115">
        <v>46053.0</v>
      </c>
      <c r="E86" s="116" t="s">
        <v>52</v>
      </c>
      <c r="F86" s="112" t="s">
        <v>53</v>
      </c>
      <c r="G86" s="90">
        <f t="shared" si="1"/>
        <v>75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12" t="s">
        <v>75</v>
      </c>
      <c r="B87" s="113">
        <v>4025.0</v>
      </c>
      <c r="C87" s="114" t="s">
        <v>183</v>
      </c>
      <c r="D87" s="115">
        <v>46053.0</v>
      </c>
      <c r="E87" s="116" t="s">
        <v>52</v>
      </c>
      <c r="F87" s="112" t="s">
        <v>53</v>
      </c>
      <c r="G87" s="90">
        <f t="shared" si="1"/>
        <v>402.5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12" t="s">
        <v>184</v>
      </c>
      <c r="B88" s="113">
        <v>3300.0</v>
      </c>
      <c r="C88" s="114" t="s">
        <v>185</v>
      </c>
      <c r="D88" s="115">
        <v>46053.0</v>
      </c>
      <c r="E88" s="116" t="s">
        <v>52</v>
      </c>
      <c r="F88" s="112" t="s">
        <v>53</v>
      </c>
      <c r="G88" s="90">
        <f t="shared" si="1"/>
        <v>330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12" t="s">
        <v>130</v>
      </c>
      <c r="B89" s="113">
        <v>50.0</v>
      </c>
      <c r="C89" s="114" t="s">
        <v>186</v>
      </c>
      <c r="D89" s="115">
        <v>46053.0</v>
      </c>
      <c r="E89" s="116" t="s">
        <v>52</v>
      </c>
      <c r="F89" s="112" t="s">
        <v>53</v>
      </c>
      <c r="G89" s="90">
        <f t="shared" si="1"/>
        <v>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12" t="s">
        <v>50</v>
      </c>
      <c r="B90" s="113">
        <v>1013.87</v>
      </c>
      <c r="C90" s="114" t="s">
        <v>187</v>
      </c>
      <c r="D90" s="115">
        <v>46053.0</v>
      </c>
      <c r="E90" s="116" t="s">
        <v>52</v>
      </c>
      <c r="F90" s="112" t="s">
        <v>68</v>
      </c>
      <c r="G90" s="90">
        <f t="shared" si="1"/>
        <v>101.387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12" t="s">
        <v>56</v>
      </c>
      <c r="B91" s="113">
        <v>360.0</v>
      </c>
      <c r="C91" s="114" t="s">
        <v>188</v>
      </c>
      <c r="D91" s="115">
        <v>46053.0</v>
      </c>
      <c r="E91" s="116" t="s">
        <v>52</v>
      </c>
      <c r="F91" s="112" t="s">
        <v>53</v>
      </c>
      <c r="G91" s="90">
        <f t="shared" si="1"/>
        <v>36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112" t="s">
        <v>78</v>
      </c>
      <c r="B92" s="113">
        <v>525.0</v>
      </c>
      <c r="C92" s="114" t="s">
        <v>189</v>
      </c>
      <c r="D92" s="115">
        <v>46053.0</v>
      </c>
      <c r="E92" s="116" t="s">
        <v>52</v>
      </c>
      <c r="F92" s="112" t="s">
        <v>53</v>
      </c>
      <c r="G92" s="90">
        <f t="shared" si="1"/>
        <v>52.5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112" t="s">
        <v>54</v>
      </c>
      <c r="B93" s="113">
        <v>1531.25</v>
      </c>
      <c r="C93" s="114" t="s">
        <v>190</v>
      </c>
      <c r="D93" s="115">
        <v>46053.0</v>
      </c>
      <c r="E93" s="116" t="s">
        <v>52</v>
      </c>
      <c r="F93" s="112" t="s">
        <v>53</v>
      </c>
      <c r="G93" s="90">
        <f t="shared" si="1"/>
        <v>153.125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112" t="s">
        <v>89</v>
      </c>
      <c r="B94" s="113">
        <v>225.0</v>
      </c>
      <c r="C94" s="114" t="s">
        <v>191</v>
      </c>
      <c r="D94" s="115">
        <v>46053.0</v>
      </c>
      <c r="E94" s="116" t="s">
        <v>52</v>
      </c>
      <c r="F94" s="112" t="s">
        <v>53</v>
      </c>
      <c r="G94" s="90">
        <f t="shared" si="1"/>
        <v>22.5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112" t="s">
        <v>192</v>
      </c>
      <c r="B95" s="113">
        <v>150.0</v>
      </c>
      <c r="C95" s="114" t="s">
        <v>193</v>
      </c>
      <c r="D95" s="115">
        <v>46053.0</v>
      </c>
      <c r="E95" s="116" t="s">
        <v>52</v>
      </c>
      <c r="F95" s="112" t="s">
        <v>53</v>
      </c>
      <c r="G95" s="90">
        <f t="shared" si="1"/>
        <v>15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112" t="s">
        <v>50</v>
      </c>
      <c r="B96" s="113">
        <v>4875.0</v>
      </c>
      <c r="C96" s="114" t="s">
        <v>194</v>
      </c>
      <c r="D96" s="115">
        <v>46053.0</v>
      </c>
      <c r="E96" s="116" t="s">
        <v>52</v>
      </c>
      <c r="F96" s="112" t="s">
        <v>53</v>
      </c>
      <c r="G96" s="90">
        <f t="shared" si="1"/>
        <v>487.5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11" t="s">
        <v>84</v>
      </c>
      <c r="B97" s="113">
        <v>2200.0</v>
      </c>
      <c r="C97" s="11" t="s">
        <v>195</v>
      </c>
      <c r="D97" s="117">
        <v>46053.0</v>
      </c>
      <c r="E97" s="118" t="s">
        <v>52</v>
      </c>
      <c r="F97" s="112" t="s">
        <v>53</v>
      </c>
      <c r="G97" s="90">
        <f t="shared" si="1"/>
        <v>220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119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119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119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119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119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119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119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90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90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ref="G165:G210" si="2">B165*0.05</f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si="2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9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9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121"/>
      <c r="V969" s="121"/>
      <c r="W969" s="121"/>
      <c r="X969" s="121"/>
      <c r="Y969" s="121"/>
      <c r="Z969" s="121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21"/>
      <c r="V970" s="121"/>
      <c r="W970" s="121"/>
      <c r="X970" s="121"/>
      <c r="Y970" s="121"/>
      <c r="Z970" s="121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</sheetData>
  <autoFilter ref="$A$7:$G$210">
    <sortState ref="A7:G210">
      <sortCondition ref="D7:D210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SUM(G7:G961)</f>
        <v>9461.675</v>
      </c>
      <c r="C2" s="103">
        <f>SUMIF(F8:F959,"MÉDIA MULTI-ANNONCEURS",G8:G959)</f>
        <v>1790</v>
      </c>
      <c r="D2" s="104">
        <f>SUMIF(F8:F959,"PROMOTIONNEL",G8:G959)</f>
        <v>2003.112</v>
      </c>
      <c r="E2" s="105">
        <f>SUMIF(F8:F959,"DIST. PUBLICITAIRE SOLO",G8:G959)</f>
        <v>-15</v>
      </c>
      <c r="F2" s="106">
        <f>SUMIF(F8:F959,"AGENCE PUB",G8:G959)</f>
        <v>4685.7</v>
      </c>
      <c r="G2" s="107">
        <f>SUMIF(F8:F959,"AGENCE WEB",G8:G959)</f>
        <v>974.363</v>
      </c>
      <c r="H2" s="108">
        <f>SUMIF(F8:F959,"SERVICES IA",G8:G959)</f>
        <v>159.5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SUM(B8:B961)</f>
        <v>97111.75</v>
      </c>
      <c r="C4" s="103">
        <f>SUMIF(F8:F959,"MÉDIA MULTI-ANNONCEURS",B8:B959)</f>
        <v>17900</v>
      </c>
      <c r="D4" s="104">
        <f>SUMIF(F8:F959,"PROMOTIONNEL",B8:B959)</f>
        <v>20031.12</v>
      </c>
      <c r="E4" s="105">
        <f>SUMIF(F8:F959,"DIST. PUBLICITAIRE SOLO",B8:B959)</f>
        <v>-150</v>
      </c>
      <c r="F4" s="106">
        <f>SUMIF(F8:F959,"AGENCE PUB",B8:B959)</f>
        <v>49352</v>
      </c>
      <c r="G4" s="107">
        <f>SUMIF(F8:F959,"AGENCE WEB",B8:B959)</f>
        <v>9743.63</v>
      </c>
      <c r="H4" s="108">
        <f>SUMIF(F8:F959,"SERVICES IA",B8:B959)</f>
        <v>1595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 t="s">
        <v>69</v>
      </c>
      <c r="B8" s="113">
        <v>1595.0</v>
      </c>
      <c r="C8" s="114" t="s">
        <v>196</v>
      </c>
      <c r="D8" s="115">
        <v>46054.0</v>
      </c>
      <c r="E8" s="116" t="s">
        <v>52</v>
      </c>
      <c r="F8" s="112" t="s">
        <v>24</v>
      </c>
      <c r="G8" s="90">
        <f t="shared" ref="G8:G34" si="1">B8*0.1</f>
        <v>159.5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 t="s">
        <v>89</v>
      </c>
      <c r="B9" s="113">
        <v>591.47</v>
      </c>
      <c r="C9" s="114" t="s">
        <v>197</v>
      </c>
      <c r="D9" s="115">
        <v>46055.0</v>
      </c>
      <c r="E9" s="116" t="s">
        <v>52</v>
      </c>
      <c r="F9" s="112" t="s">
        <v>20</v>
      </c>
      <c r="G9" s="90">
        <f t="shared" si="1"/>
        <v>59.147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 t="s">
        <v>173</v>
      </c>
      <c r="B10" s="113">
        <v>-1360.0</v>
      </c>
      <c r="C10" s="114" t="s">
        <v>198</v>
      </c>
      <c r="D10" s="115">
        <v>46055.0</v>
      </c>
      <c r="E10" s="116" t="s">
        <v>52</v>
      </c>
      <c r="F10" s="112" t="s">
        <v>199</v>
      </c>
      <c r="G10" s="90">
        <f t="shared" si="1"/>
        <v>-136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 t="s">
        <v>100</v>
      </c>
      <c r="B11" s="113">
        <v>-450.0</v>
      </c>
      <c r="C11" s="114" t="s">
        <v>200</v>
      </c>
      <c r="D11" s="115">
        <v>46055.0</v>
      </c>
      <c r="E11" s="116" t="s">
        <v>52</v>
      </c>
      <c r="F11" s="112" t="s">
        <v>53</v>
      </c>
      <c r="G11" s="90">
        <f t="shared" si="1"/>
        <v>-45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 t="s">
        <v>201</v>
      </c>
      <c r="B12" s="113">
        <v>140.0</v>
      </c>
      <c r="C12" s="114" t="s">
        <v>202</v>
      </c>
      <c r="D12" s="115">
        <v>46057.0</v>
      </c>
      <c r="E12" s="116" t="s">
        <v>52</v>
      </c>
      <c r="F12" s="112" t="s">
        <v>53</v>
      </c>
      <c r="G12" s="90">
        <f t="shared" si="1"/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 t="s">
        <v>201</v>
      </c>
      <c r="B13" s="113">
        <v>665.0</v>
      </c>
      <c r="C13" s="114" t="s">
        <v>203</v>
      </c>
      <c r="D13" s="115">
        <v>46057.0</v>
      </c>
      <c r="E13" s="116" t="s">
        <v>52</v>
      </c>
      <c r="F13" s="112" t="s">
        <v>53</v>
      </c>
      <c r="G13" s="90">
        <f t="shared" si="1"/>
        <v>66.5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 t="s">
        <v>170</v>
      </c>
      <c r="B14" s="113">
        <v>-150.0</v>
      </c>
      <c r="C14" s="114" t="s">
        <v>204</v>
      </c>
      <c r="D14" s="115">
        <v>46057.0</v>
      </c>
      <c r="E14" s="116" t="s">
        <v>52</v>
      </c>
      <c r="F14" s="122" t="s">
        <v>21</v>
      </c>
      <c r="G14" s="90">
        <f t="shared" si="1"/>
        <v>-15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 t="s">
        <v>50</v>
      </c>
      <c r="B15" s="113">
        <v>2208.75</v>
      </c>
      <c r="C15" s="114" t="s">
        <v>205</v>
      </c>
      <c r="D15" s="115">
        <v>46058.0</v>
      </c>
      <c r="E15" s="116" t="s">
        <v>52</v>
      </c>
      <c r="F15" s="112" t="s">
        <v>68</v>
      </c>
      <c r="G15" s="90">
        <f t="shared" si="1"/>
        <v>220.875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2" t="s">
        <v>84</v>
      </c>
      <c r="B16" s="113">
        <v>50.0</v>
      </c>
      <c r="C16" s="114" t="s">
        <v>206</v>
      </c>
      <c r="D16" s="115">
        <v>46059.0</v>
      </c>
      <c r="E16" s="116" t="s">
        <v>52</v>
      </c>
      <c r="F16" s="112" t="s">
        <v>53</v>
      </c>
      <c r="G16" s="90">
        <f t="shared" si="1"/>
        <v>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2" t="s">
        <v>184</v>
      </c>
      <c r="B17" s="113">
        <v>50.0</v>
      </c>
      <c r="C17" s="114" t="s">
        <v>207</v>
      </c>
      <c r="D17" s="115">
        <v>46059.0</v>
      </c>
      <c r="E17" s="116" t="s">
        <v>52</v>
      </c>
      <c r="F17" s="112" t="s">
        <v>53</v>
      </c>
      <c r="G17" s="90">
        <f t="shared" si="1"/>
        <v>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2" t="s">
        <v>82</v>
      </c>
      <c r="B18" s="113">
        <v>50.0</v>
      </c>
      <c r="C18" s="114" t="s">
        <v>208</v>
      </c>
      <c r="D18" s="115">
        <v>46059.0</v>
      </c>
      <c r="E18" s="116" t="s">
        <v>52</v>
      </c>
      <c r="F18" s="112" t="s">
        <v>53</v>
      </c>
      <c r="G18" s="90">
        <f t="shared" si="1"/>
        <v>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2" t="s">
        <v>73</v>
      </c>
      <c r="B19" s="113">
        <v>50.0</v>
      </c>
      <c r="C19" s="114" t="s">
        <v>209</v>
      </c>
      <c r="D19" s="115">
        <v>46059.0</v>
      </c>
      <c r="E19" s="116" t="s">
        <v>52</v>
      </c>
      <c r="F19" s="112" t="s">
        <v>53</v>
      </c>
      <c r="G19" s="90">
        <f t="shared" si="1"/>
        <v>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2" t="s">
        <v>137</v>
      </c>
      <c r="B20" s="113">
        <v>1695.0</v>
      </c>
      <c r="C20" s="114" t="s">
        <v>210</v>
      </c>
      <c r="D20" s="115">
        <v>46059.0</v>
      </c>
      <c r="E20" s="116" t="s">
        <v>52</v>
      </c>
      <c r="F20" s="112" t="s">
        <v>41</v>
      </c>
      <c r="G20" s="90">
        <f t="shared" si="1"/>
        <v>169.5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2" t="s">
        <v>135</v>
      </c>
      <c r="B21" s="113">
        <v>1795.0</v>
      </c>
      <c r="C21" s="114" t="s">
        <v>211</v>
      </c>
      <c r="D21" s="115">
        <v>46059.0</v>
      </c>
      <c r="E21" s="116" t="s">
        <v>52</v>
      </c>
      <c r="F21" s="112" t="s">
        <v>41</v>
      </c>
      <c r="G21" s="90">
        <f t="shared" si="1"/>
        <v>179.5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2" t="s">
        <v>64</v>
      </c>
      <c r="B22" s="113">
        <v>1725.0</v>
      </c>
      <c r="C22" s="114" t="s">
        <v>212</v>
      </c>
      <c r="D22" s="115">
        <v>46059.0</v>
      </c>
      <c r="E22" s="116" t="s">
        <v>52</v>
      </c>
      <c r="F22" s="112" t="s">
        <v>41</v>
      </c>
      <c r="G22" s="90">
        <f t="shared" si="1"/>
        <v>172.5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2" t="s">
        <v>142</v>
      </c>
      <c r="B23" s="113">
        <v>1600.0</v>
      </c>
      <c r="C23" s="114" t="s">
        <v>213</v>
      </c>
      <c r="D23" s="115">
        <v>46059.0</v>
      </c>
      <c r="E23" s="116" t="s">
        <v>52</v>
      </c>
      <c r="F23" s="112" t="s">
        <v>41</v>
      </c>
      <c r="G23" s="90">
        <f t="shared" si="1"/>
        <v>160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2" t="s">
        <v>214</v>
      </c>
      <c r="B24" s="113">
        <v>220.0</v>
      </c>
      <c r="C24" s="114" t="s">
        <v>215</v>
      </c>
      <c r="D24" s="115">
        <v>46059.0</v>
      </c>
      <c r="E24" s="116" t="s">
        <v>52</v>
      </c>
      <c r="F24" s="112" t="s">
        <v>20</v>
      </c>
      <c r="G24" s="90">
        <f t="shared" si="1"/>
        <v>22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2" t="s">
        <v>216</v>
      </c>
      <c r="B25" s="113">
        <v>1453.69</v>
      </c>
      <c r="C25" s="114" t="s">
        <v>217</v>
      </c>
      <c r="D25" s="115">
        <v>46059.0</v>
      </c>
      <c r="E25" s="116" t="s">
        <v>52</v>
      </c>
      <c r="F25" s="112" t="s">
        <v>20</v>
      </c>
      <c r="G25" s="90">
        <f t="shared" si="1"/>
        <v>145.369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2" t="s">
        <v>218</v>
      </c>
      <c r="B26" s="113">
        <v>1958.52</v>
      </c>
      <c r="C26" s="114" t="s">
        <v>219</v>
      </c>
      <c r="D26" s="115">
        <v>46062.0</v>
      </c>
      <c r="E26" s="116" t="s">
        <v>52</v>
      </c>
      <c r="F26" s="112" t="s">
        <v>20</v>
      </c>
      <c r="G26" s="90">
        <f t="shared" si="1"/>
        <v>195.852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2" t="s">
        <v>220</v>
      </c>
      <c r="B27" s="113">
        <v>8990.0</v>
      </c>
      <c r="C27" s="114" t="s">
        <v>221</v>
      </c>
      <c r="D27" s="115">
        <v>46064.0</v>
      </c>
      <c r="E27" s="116" t="s">
        <v>52</v>
      </c>
      <c r="F27" s="112" t="s">
        <v>41</v>
      </c>
      <c r="G27" s="90">
        <f t="shared" si="1"/>
        <v>899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2" t="s">
        <v>60</v>
      </c>
      <c r="B28" s="113">
        <v>740.0</v>
      </c>
      <c r="C28" s="114" t="s">
        <v>222</v>
      </c>
      <c r="D28" s="115">
        <v>46064.0</v>
      </c>
      <c r="E28" s="116" t="s">
        <v>52</v>
      </c>
      <c r="F28" s="112" t="s">
        <v>20</v>
      </c>
      <c r="G28" s="90">
        <f t="shared" si="1"/>
        <v>74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2" t="s">
        <v>125</v>
      </c>
      <c r="B29" s="113">
        <v>141.6</v>
      </c>
      <c r="C29" s="114" t="s">
        <v>223</v>
      </c>
      <c r="D29" s="115">
        <v>46064.0</v>
      </c>
      <c r="E29" s="116" t="s">
        <v>52</v>
      </c>
      <c r="F29" s="112" t="s">
        <v>20</v>
      </c>
      <c r="G29" s="90">
        <f t="shared" si="1"/>
        <v>14.16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2" t="s">
        <v>139</v>
      </c>
      <c r="B30" s="113">
        <v>1418.95</v>
      </c>
      <c r="C30" s="114" t="s">
        <v>224</v>
      </c>
      <c r="D30" s="115">
        <v>46064.0</v>
      </c>
      <c r="E30" s="116" t="s">
        <v>52</v>
      </c>
      <c r="F30" s="112" t="s">
        <v>20</v>
      </c>
      <c r="G30" s="90">
        <f t="shared" si="1"/>
        <v>141.895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2" t="s">
        <v>69</v>
      </c>
      <c r="B31" s="113">
        <v>4000.0</v>
      </c>
      <c r="C31" s="114" t="s">
        <v>225</v>
      </c>
      <c r="D31" s="115">
        <v>46065.0</v>
      </c>
      <c r="E31" s="116" t="s">
        <v>52</v>
      </c>
      <c r="F31" s="112" t="s">
        <v>53</v>
      </c>
      <c r="G31" s="90">
        <f t="shared" si="1"/>
        <v>400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2" t="s">
        <v>218</v>
      </c>
      <c r="B32" s="113">
        <v>-279.86</v>
      </c>
      <c r="C32" s="114" t="s">
        <v>226</v>
      </c>
      <c r="D32" s="115">
        <v>46065.0</v>
      </c>
      <c r="E32" s="116" t="s">
        <v>52</v>
      </c>
      <c r="F32" s="112" t="s">
        <v>20</v>
      </c>
      <c r="G32" s="90">
        <f t="shared" si="1"/>
        <v>-27.986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2" t="s">
        <v>50</v>
      </c>
      <c r="B33" s="113">
        <v>838.85</v>
      </c>
      <c r="C33" s="114" t="s">
        <v>227</v>
      </c>
      <c r="D33" s="115">
        <v>46066.0</v>
      </c>
      <c r="E33" s="116" t="s">
        <v>52</v>
      </c>
      <c r="F33" s="112" t="s">
        <v>68</v>
      </c>
      <c r="G33" s="90">
        <f t="shared" si="1"/>
        <v>83.885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2" t="s">
        <v>228</v>
      </c>
      <c r="B34" s="113">
        <v>2495.0</v>
      </c>
      <c r="C34" s="114" t="s">
        <v>229</v>
      </c>
      <c r="D34" s="115">
        <v>46069.0</v>
      </c>
      <c r="E34" s="116" t="s">
        <v>52</v>
      </c>
      <c r="F34" s="112" t="s">
        <v>53</v>
      </c>
      <c r="G34" s="90">
        <f t="shared" si="1"/>
        <v>249.5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2" t="s">
        <v>230</v>
      </c>
      <c r="B35" s="113">
        <v>2495.0</v>
      </c>
      <c r="C35" s="114" t="s">
        <v>231</v>
      </c>
      <c r="D35" s="115">
        <v>46069.0</v>
      </c>
      <c r="E35" s="116" t="s">
        <v>52</v>
      </c>
      <c r="F35" s="112" t="s">
        <v>53</v>
      </c>
      <c r="G35" s="9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2" t="s">
        <v>82</v>
      </c>
      <c r="B36" s="113">
        <v>1260.0</v>
      </c>
      <c r="C36" s="114" t="s">
        <v>232</v>
      </c>
      <c r="D36" s="115">
        <v>46069.0</v>
      </c>
      <c r="E36" s="116" t="s">
        <v>52</v>
      </c>
      <c r="F36" s="112" t="s">
        <v>20</v>
      </c>
      <c r="G36" s="90">
        <f t="shared" ref="G36:G165" si="2">B36*0.1</f>
        <v>126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2" t="s">
        <v>110</v>
      </c>
      <c r="B37" s="113">
        <v>187.5</v>
      </c>
      <c r="C37" s="114" t="s">
        <v>233</v>
      </c>
      <c r="D37" s="115">
        <v>46070.0</v>
      </c>
      <c r="E37" s="116" t="s">
        <v>52</v>
      </c>
      <c r="F37" s="112" t="s">
        <v>53</v>
      </c>
      <c r="G37" s="90">
        <f t="shared" si="2"/>
        <v>18.75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2" t="s">
        <v>73</v>
      </c>
      <c r="B38" s="113">
        <v>4227.35</v>
      </c>
      <c r="C38" s="114" t="s">
        <v>234</v>
      </c>
      <c r="D38" s="115">
        <v>46070.0</v>
      </c>
      <c r="E38" s="116" t="s">
        <v>52</v>
      </c>
      <c r="F38" s="112" t="s">
        <v>20</v>
      </c>
      <c r="G38" s="90">
        <f t="shared" si="2"/>
        <v>422.735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2" t="s">
        <v>235</v>
      </c>
      <c r="B39" s="113">
        <v>451.81</v>
      </c>
      <c r="C39" s="114" t="s">
        <v>236</v>
      </c>
      <c r="D39" s="115">
        <v>46071.0</v>
      </c>
      <c r="E39" s="116" t="s">
        <v>52</v>
      </c>
      <c r="F39" s="112" t="s">
        <v>20</v>
      </c>
      <c r="G39" s="90">
        <f t="shared" si="2"/>
        <v>45.181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2" t="s">
        <v>112</v>
      </c>
      <c r="B40" s="113">
        <v>62.5</v>
      </c>
      <c r="C40" s="114" t="s">
        <v>237</v>
      </c>
      <c r="D40" s="115">
        <v>46071.0</v>
      </c>
      <c r="E40" s="116" t="s">
        <v>52</v>
      </c>
      <c r="F40" s="112" t="s">
        <v>53</v>
      </c>
      <c r="G40" s="90">
        <f t="shared" si="2"/>
        <v>6.25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2" t="s">
        <v>238</v>
      </c>
      <c r="B41" s="113">
        <v>191.35</v>
      </c>
      <c r="C41" s="114" t="s">
        <v>239</v>
      </c>
      <c r="D41" s="115">
        <v>46071.0</v>
      </c>
      <c r="E41" s="116" t="s">
        <v>52</v>
      </c>
      <c r="F41" s="112" t="s">
        <v>20</v>
      </c>
      <c r="G41" s="90">
        <f t="shared" si="2"/>
        <v>19.135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2" t="s">
        <v>50</v>
      </c>
      <c r="B42" s="113">
        <v>2628.65</v>
      </c>
      <c r="C42" s="114" t="s">
        <v>240</v>
      </c>
      <c r="D42" s="115">
        <v>46071.0</v>
      </c>
      <c r="E42" s="116" t="s">
        <v>52</v>
      </c>
      <c r="F42" s="112" t="s">
        <v>68</v>
      </c>
      <c r="G42" s="90">
        <f t="shared" si="2"/>
        <v>262.865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2" t="s">
        <v>241</v>
      </c>
      <c r="B43" s="113">
        <v>1968.75</v>
      </c>
      <c r="C43" s="114" t="s">
        <v>242</v>
      </c>
      <c r="D43" s="115">
        <v>46071.0</v>
      </c>
      <c r="E43" s="116" t="s">
        <v>52</v>
      </c>
      <c r="F43" s="112" t="s">
        <v>53</v>
      </c>
      <c r="G43" s="90">
        <f t="shared" si="2"/>
        <v>196.875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2" t="s">
        <v>243</v>
      </c>
      <c r="B44" s="113">
        <v>1488.0</v>
      </c>
      <c r="C44" s="114" t="s">
        <v>244</v>
      </c>
      <c r="D44" s="115">
        <v>46071.0</v>
      </c>
      <c r="E44" s="116" t="s">
        <v>52</v>
      </c>
      <c r="F44" s="112" t="s">
        <v>20</v>
      </c>
      <c r="G44" s="90">
        <f t="shared" si="2"/>
        <v>148.8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2" t="s">
        <v>56</v>
      </c>
      <c r="B45" s="113">
        <v>264.5</v>
      </c>
      <c r="C45" s="114" t="s">
        <v>245</v>
      </c>
      <c r="D45" s="115">
        <v>46072.0</v>
      </c>
      <c r="E45" s="116" t="s">
        <v>52</v>
      </c>
      <c r="F45" s="112" t="s">
        <v>20</v>
      </c>
      <c r="G45" s="90">
        <f t="shared" si="2"/>
        <v>26.45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2" t="s">
        <v>246</v>
      </c>
      <c r="B46" s="113">
        <v>3820.75</v>
      </c>
      <c r="C46" s="114" t="s">
        <v>247</v>
      </c>
      <c r="D46" s="115">
        <v>46072.0</v>
      </c>
      <c r="E46" s="116" t="s">
        <v>52</v>
      </c>
      <c r="F46" s="112" t="s">
        <v>53</v>
      </c>
      <c r="G46" s="90">
        <f t="shared" si="2"/>
        <v>382.075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2" t="s">
        <v>241</v>
      </c>
      <c r="B47" s="113">
        <v>1875.0</v>
      </c>
      <c r="C47" s="114" t="s">
        <v>248</v>
      </c>
      <c r="D47" s="115">
        <v>46076.0</v>
      </c>
      <c r="E47" s="116" t="s">
        <v>52</v>
      </c>
      <c r="F47" s="112" t="s">
        <v>53</v>
      </c>
      <c r="G47" s="90">
        <f t="shared" si="2"/>
        <v>187.5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2" t="s">
        <v>241</v>
      </c>
      <c r="B48" s="113">
        <v>1968.75</v>
      </c>
      <c r="C48" s="114" t="s">
        <v>249</v>
      </c>
      <c r="D48" s="115">
        <v>46076.0</v>
      </c>
      <c r="E48" s="116" t="s">
        <v>52</v>
      </c>
      <c r="F48" s="112" t="s">
        <v>53</v>
      </c>
      <c r="G48" s="90">
        <f t="shared" si="2"/>
        <v>196.875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2" t="s">
        <v>82</v>
      </c>
      <c r="B49" s="113">
        <v>1510.0</v>
      </c>
      <c r="C49" s="114" t="s">
        <v>250</v>
      </c>
      <c r="D49" s="115">
        <v>46076.0</v>
      </c>
      <c r="E49" s="116" t="s">
        <v>52</v>
      </c>
      <c r="F49" s="112" t="s">
        <v>20</v>
      </c>
      <c r="G49" s="90">
        <f t="shared" si="2"/>
        <v>151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2" t="s">
        <v>251</v>
      </c>
      <c r="B50" s="113">
        <v>705.0</v>
      </c>
      <c r="C50" s="114" t="s">
        <v>252</v>
      </c>
      <c r="D50" s="115">
        <v>46076.0</v>
      </c>
      <c r="E50" s="116" t="s">
        <v>52</v>
      </c>
      <c r="F50" s="112" t="s">
        <v>20</v>
      </c>
      <c r="G50" s="90">
        <f t="shared" si="2"/>
        <v>70.5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12" t="s">
        <v>89</v>
      </c>
      <c r="B51" s="113">
        <v>750.0</v>
      </c>
      <c r="C51" s="114" t="s">
        <v>253</v>
      </c>
      <c r="D51" s="115">
        <v>46076.0</v>
      </c>
      <c r="E51" s="116" t="s">
        <v>52</v>
      </c>
      <c r="F51" s="112" t="s">
        <v>53</v>
      </c>
      <c r="G51" s="90">
        <f t="shared" si="2"/>
        <v>75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12" t="s">
        <v>254</v>
      </c>
      <c r="B52" s="113">
        <v>2095.0</v>
      </c>
      <c r="C52" s="114" t="s">
        <v>255</v>
      </c>
      <c r="D52" s="115">
        <v>46077.0</v>
      </c>
      <c r="E52" s="116" t="s">
        <v>52</v>
      </c>
      <c r="F52" s="112" t="s">
        <v>41</v>
      </c>
      <c r="G52" s="90">
        <f t="shared" si="2"/>
        <v>209.5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12" t="s">
        <v>256</v>
      </c>
      <c r="B53" s="113">
        <v>2920.03</v>
      </c>
      <c r="C53" s="114" t="s">
        <v>257</v>
      </c>
      <c r="D53" s="115">
        <v>46077.0</v>
      </c>
      <c r="E53" s="116" t="s">
        <v>52</v>
      </c>
      <c r="F53" s="112" t="s">
        <v>20</v>
      </c>
      <c r="G53" s="90">
        <f t="shared" si="2"/>
        <v>292.003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12" t="s">
        <v>60</v>
      </c>
      <c r="B54" s="113">
        <v>1033.21</v>
      </c>
      <c r="C54" s="114" t="s">
        <v>258</v>
      </c>
      <c r="D54" s="115">
        <v>46077.0</v>
      </c>
      <c r="E54" s="116" t="s">
        <v>52</v>
      </c>
      <c r="F54" s="112" t="s">
        <v>20</v>
      </c>
      <c r="G54" s="90">
        <f t="shared" si="2"/>
        <v>103.321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12" t="s">
        <v>56</v>
      </c>
      <c r="B55" s="113">
        <v>-264.5</v>
      </c>
      <c r="C55" s="114" t="s">
        <v>259</v>
      </c>
      <c r="D55" s="115">
        <v>46077.0</v>
      </c>
      <c r="E55" s="116" t="s">
        <v>52</v>
      </c>
      <c r="F55" s="112" t="s">
        <v>20</v>
      </c>
      <c r="G55" s="90">
        <f t="shared" si="2"/>
        <v>-26.45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12" t="s">
        <v>110</v>
      </c>
      <c r="B56" s="113">
        <v>250.0</v>
      </c>
      <c r="C56" s="114" t="s">
        <v>260</v>
      </c>
      <c r="D56" s="115">
        <v>46079.0</v>
      </c>
      <c r="E56" s="116" t="s">
        <v>52</v>
      </c>
      <c r="F56" s="112" t="s">
        <v>53</v>
      </c>
      <c r="G56" s="90">
        <f t="shared" si="2"/>
        <v>25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12" t="s">
        <v>50</v>
      </c>
      <c r="B57" s="113">
        <v>3498.85</v>
      </c>
      <c r="C57" s="114" t="s">
        <v>261</v>
      </c>
      <c r="D57" s="115">
        <v>46080.0</v>
      </c>
      <c r="E57" s="116" t="s">
        <v>52</v>
      </c>
      <c r="F57" s="112" t="s">
        <v>68</v>
      </c>
      <c r="G57" s="90">
        <f t="shared" si="2"/>
        <v>349.885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12" t="s">
        <v>82</v>
      </c>
      <c r="B58" s="113">
        <v>3820.0</v>
      </c>
      <c r="C58" s="114" t="s">
        <v>262</v>
      </c>
      <c r="D58" s="115">
        <v>46081.0</v>
      </c>
      <c r="E58" s="116" t="s">
        <v>52</v>
      </c>
      <c r="F58" s="112" t="s">
        <v>53</v>
      </c>
      <c r="G58" s="90">
        <f t="shared" si="2"/>
        <v>382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12" t="s">
        <v>263</v>
      </c>
      <c r="B59" s="113">
        <v>125.0</v>
      </c>
      <c r="C59" s="114" t="s">
        <v>264</v>
      </c>
      <c r="D59" s="115">
        <v>46081.0</v>
      </c>
      <c r="E59" s="116" t="s">
        <v>52</v>
      </c>
      <c r="F59" s="112" t="s">
        <v>53</v>
      </c>
      <c r="G59" s="90">
        <f t="shared" si="2"/>
        <v>12.5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12" t="s">
        <v>50</v>
      </c>
      <c r="B60" s="113">
        <v>4987.5</v>
      </c>
      <c r="C60" s="114" t="s">
        <v>265</v>
      </c>
      <c r="D60" s="115">
        <v>46081.0</v>
      </c>
      <c r="E60" s="116" t="s">
        <v>52</v>
      </c>
      <c r="F60" s="112" t="s">
        <v>53</v>
      </c>
      <c r="G60" s="90">
        <f t="shared" si="2"/>
        <v>498.75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12" t="s">
        <v>84</v>
      </c>
      <c r="B61" s="113">
        <v>2200.0</v>
      </c>
      <c r="C61" s="114" t="s">
        <v>266</v>
      </c>
      <c r="D61" s="115">
        <v>46081.0</v>
      </c>
      <c r="E61" s="116" t="s">
        <v>52</v>
      </c>
      <c r="F61" s="112" t="s">
        <v>53</v>
      </c>
      <c r="G61" s="90">
        <f t="shared" si="2"/>
        <v>220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12" t="s">
        <v>179</v>
      </c>
      <c r="B62" s="113">
        <v>2275.0</v>
      </c>
      <c r="C62" s="114" t="s">
        <v>267</v>
      </c>
      <c r="D62" s="115">
        <v>46081.0</v>
      </c>
      <c r="E62" s="116" t="s">
        <v>52</v>
      </c>
      <c r="F62" s="112" t="s">
        <v>53</v>
      </c>
      <c r="G62" s="90">
        <f t="shared" si="2"/>
        <v>227.5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12" t="s">
        <v>181</v>
      </c>
      <c r="B63" s="113">
        <v>750.0</v>
      </c>
      <c r="C63" s="114" t="s">
        <v>268</v>
      </c>
      <c r="D63" s="115">
        <v>46081.0</v>
      </c>
      <c r="E63" s="116" t="s">
        <v>52</v>
      </c>
      <c r="F63" s="112" t="s">
        <v>53</v>
      </c>
      <c r="G63" s="90">
        <f t="shared" si="2"/>
        <v>75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12" t="s">
        <v>269</v>
      </c>
      <c r="B64" s="123">
        <v>2175.0</v>
      </c>
      <c r="C64" s="114" t="s">
        <v>270</v>
      </c>
      <c r="D64" s="115">
        <v>46081.0</v>
      </c>
      <c r="E64" s="116" t="s">
        <v>52</v>
      </c>
      <c r="F64" s="112" t="s">
        <v>53</v>
      </c>
      <c r="G64" s="90">
        <f t="shared" si="2"/>
        <v>217.5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12" t="s">
        <v>271</v>
      </c>
      <c r="B65" s="123">
        <v>2175.0</v>
      </c>
      <c r="C65" s="114" t="s">
        <v>272</v>
      </c>
      <c r="D65" s="115">
        <v>46081.0</v>
      </c>
      <c r="E65" s="116" t="s">
        <v>52</v>
      </c>
      <c r="F65" s="112" t="s">
        <v>53</v>
      </c>
      <c r="G65" s="90">
        <f t="shared" si="2"/>
        <v>217.5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12" t="s">
        <v>75</v>
      </c>
      <c r="B66" s="123">
        <v>4025.0</v>
      </c>
      <c r="C66" s="114" t="s">
        <v>273</v>
      </c>
      <c r="D66" s="115">
        <v>46081.0</v>
      </c>
      <c r="E66" s="116" t="s">
        <v>52</v>
      </c>
      <c r="F66" s="112" t="s">
        <v>53</v>
      </c>
      <c r="G66" s="90">
        <f t="shared" si="2"/>
        <v>402.5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12" t="s">
        <v>184</v>
      </c>
      <c r="B67" s="123">
        <v>3300.0</v>
      </c>
      <c r="C67" s="114" t="s">
        <v>274</v>
      </c>
      <c r="D67" s="115">
        <v>46081.0</v>
      </c>
      <c r="E67" s="116" t="s">
        <v>52</v>
      </c>
      <c r="F67" s="112" t="s">
        <v>53</v>
      </c>
      <c r="G67" s="90">
        <f t="shared" si="2"/>
        <v>330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12" t="s">
        <v>56</v>
      </c>
      <c r="B68" s="123">
        <v>360.0</v>
      </c>
      <c r="C68" s="114" t="s">
        <v>275</v>
      </c>
      <c r="D68" s="115">
        <v>46081.0</v>
      </c>
      <c r="E68" s="116" t="s">
        <v>52</v>
      </c>
      <c r="F68" s="112" t="s">
        <v>53</v>
      </c>
      <c r="G68" s="90">
        <f t="shared" si="2"/>
        <v>36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12" t="s">
        <v>78</v>
      </c>
      <c r="B69" s="123">
        <v>525.0</v>
      </c>
      <c r="C69" s="114" t="s">
        <v>276</v>
      </c>
      <c r="D69" s="115">
        <v>46081.0</v>
      </c>
      <c r="E69" s="116" t="s">
        <v>52</v>
      </c>
      <c r="F69" s="112" t="s">
        <v>53</v>
      </c>
      <c r="G69" s="90">
        <f t="shared" si="2"/>
        <v>52.5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12" t="s">
        <v>54</v>
      </c>
      <c r="B70" s="123">
        <v>1531.25</v>
      </c>
      <c r="C70" s="114" t="s">
        <v>277</v>
      </c>
      <c r="D70" s="115">
        <v>46081.0</v>
      </c>
      <c r="E70" s="116" t="s">
        <v>52</v>
      </c>
      <c r="F70" s="112" t="s">
        <v>53</v>
      </c>
      <c r="G70" s="90">
        <f t="shared" si="2"/>
        <v>153.125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12" t="s">
        <v>130</v>
      </c>
      <c r="B71" s="123">
        <v>300.0</v>
      </c>
      <c r="C71" s="114" t="s">
        <v>278</v>
      </c>
      <c r="D71" s="115">
        <v>46081.0</v>
      </c>
      <c r="E71" s="116" t="s">
        <v>52</v>
      </c>
      <c r="F71" s="112" t="s">
        <v>53</v>
      </c>
      <c r="G71" s="90">
        <f t="shared" si="2"/>
        <v>30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12" t="s">
        <v>89</v>
      </c>
      <c r="B72" s="123">
        <v>225.0</v>
      </c>
      <c r="C72" s="114" t="s">
        <v>279</v>
      </c>
      <c r="D72" s="115">
        <v>46081.0</v>
      </c>
      <c r="E72" s="116" t="s">
        <v>52</v>
      </c>
      <c r="F72" s="112" t="s">
        <v>53</v>
      </c>
      <c r="G72" s="90">
        <f t="shared" si="2"/>
        <v>22.5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12" t="s">
        <v>168</v>
      </c>
      <c r="B73" s="123">
        <v>75.0</v>
      </c>
      <c r="C73" s="114" t="s">
        <v>280</v>
      </c>
      <c r="D73" s="115">
        <v>46081.0</v>
      </c>
      <c r="E73" s="116" t="s">
        <v>52</v>
      </c>
      <c r="F73" s="112" t="s">
        <v>68</v>
      </c>
      <c r="G73" s="90">
        <f t="shared" si="2"/>
        <v>7.5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12" t="s">
        <v>192</v>
      </c>
      <c r="B74" s="123">
        <v>150.0</v>
      </c>
      <c r="C74" s="114" t="s">
        <v>281</v>
      </c>
      <c r="D74" s="115">
        <v>46081.0</v>
      </c>
      <c r="E74" s="116" t="s">
        <v>52</v>
      </c>
      <c r="F74" s="112" t="s">
        <v>53</v>
      </c>
      <c r="G74" s="90">
        <f t="shared" si="2"/>
        <v>15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12" t="s">
        <v>50</v>
      </c>
      <c r="B75" s="123">
        <v>493.53</v>
      </c>
      <c r="C75" s="114" t="s">
        <v>282</v>
      </c>
      <c r="D75" s="115">
        <v>46081.0</v>
      </c>
      <c r="E75" s="116" t="s">
        <v>52</v>
      </c>
      <c r="F75" s="112" t="s">
        <v>68</v>
      </c>
      <c r="G75" s="90">
        <f t="shared" si="2"/>
        <v>49.353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12"/>
      <c r="B76" s="123"/>
      <c r="C76" s="114"/>
      <c r="D76" s="115"/>
      <c r="E76" s="116"/>
      <c r="F76" s="112"/>
      <c r="G76" s="90">
        <f t="shared" si="2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12"/>
      <c r="B77" s="123"/>
      <c r="C77" s="114"/>
      <c r="D77" s="115"/>
      <c r="E77" s="116"/>
      <c r="F77" s="112"/>
      <c r="G77" s="90">
        <f t="shared" si="2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12"/>
      <c r="B78" s="123"/>
      <c r="C78" s="114"/>
      <c r="D78" s="115"/>
      <c r="E78" s="116"/>
      <c r="F78" s="112"/>
      <c r="G78" s="90">
        <f t="shared" si="2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12"/>
      <c r="B79" s="123"/>
      <c r="C79" s="114"/>
      <c r="D79" s="115"/>
      <c r="E79" s="116"/>
      <c r="F79" s="112"/>
      <c r="G79" s="90">
        <f t="shared" si="2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12"/>
      <c r="B80" s="123"/>
      <c r="C80" s="114"/>
      <c r="D80" s="115"/>
      <c r="E80" s="116"/>
      <c r="F80" s="112"/>
      <c r="G80" s="90">
        <f t="shared" si="2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12"/>
      <c r="B81" s="123"/>
      <c r="C81" s="114"/>
      <c r="D81" s="115"/>
      <c r="E81" s="116"/>
      <c r="F81" s="112"/>
      <c r="G81" s="90">
        <f t="shared" si="2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2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2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2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2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2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2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2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2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2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2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2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2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2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2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2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2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2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2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2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2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2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2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2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2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2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2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2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2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2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2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2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2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2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2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2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2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2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2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2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2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2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2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2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2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2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2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2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2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2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2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2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2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2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2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2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2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2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2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2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2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2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2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90"/>
      <c r="G144" s="90">
        <f t="shared" si="2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90"/>
      <c r="G145" s="90">
        <f t="shared" si="2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2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2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2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2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2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ref="G166:G211" si="3">B166*0.05</f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si="3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3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9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21"/>
      <c r="V970" s="121"/>
      <c r="W970" s="121"/>
      <c r="X970" s="121"/>
      <c r="Y970" s="121"/>
      <c r="Z970" s="121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12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</sheetData>
  <autoFilter ref="$A$7:$G$211">
    <sortState ref="A7:G211">
      <sortCondition ref="D7:D211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SUM(G7:G961)</f>
        <v>24833.479</v>
      </c>
      <c r="C2" s="103">
        <f>SUMIF(F8:F959,"MÉDIA MULTI-ANNONCEURS",G8:G959)</f>
        <v>11080.3</v>
      </c>
      <c r="D2" s="104">
        <f>SUMIF(F8:F959,"PROMOTIONNEL",G8:G959)</f>
        <v>6306.909</v>
      </c>
      <c r="E2" s="105">
        <f>SUMIF(F8:F959,"DIST. PUBLICITAIRE SOLO",G8:G959)</f>
        <v>2621.632</v>
      </c>
      <c r="F2" s="106">
        <f>SUMIF(F8:F959,"AGENCE PUB",G8:G959)</f>
        <v>5051.103</v>
      </c>
      <c r="G2" s="107">
        <f>SUMIF(F8:F959,"AGENCE WEB",G8:G959)</f>
        <v>872.535</v>
      </c>
      <c r="H2" s="108">
        <f>SUMIF(F8:F959,"SERVICES IA",G8:G959)</f>
        <v>-1099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SUM(B8:B961)</f>
        <v>248334.79</v>
      </c>
      <c r="C4" s="103">
        <f>SUMIF(F8:F959,"MÉDIA MULTI-ANNONCEURS",B8:B959)</f>
        <v>110803</v>
      </c>
      <c r="D4" s="104">
        <f>SUMIF(F8:F959,"PROMOTIONNEL",B8:B959)</f>
        <v>63069.09</v>
      </c>
      <c r="E4" s="105">
        <f>SUMIF(F8:F959,"DIST. PUBLICITAIRE SOLO",B8:B959)</f>
        <v>26216.32</v>
      </c>
      <c r="F4" s="106">
        <f>SUMIF(F8:F959,"AGENCE PUB",B8:B959)</f>
        <v>50511.03</v>
      </c>
      <c r="G4" s="107">
        <f>SUMIF(F8:F959,"AGENCE WEB",B8:B959)</f>
        <v>8725.35</v>
      </c>
      <c r="H4" s="108">
        <f>SUMIF(F8:F959,"SERVICES IA",B8:B959)</f>
        <v>-10990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25" t="s">
        <v>283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 t="s">
        <v>69</v>
      </c>
      <c r="B8" s="113">
        <v>1595.0</v>
      </c>
      <c r="C8" s="114" t="s">
        <v>284</v>
      </c>
      <c r="D8" s="115">
        <v>46082.0</v>
      </c>
      <c r="E8" s="116" t="s">
        <v>52</v>
      </c>
      <c r="F8" s="112" t="s">
        <v>24</v>
      </c>
      <c r="G8" s="90">
        <f t="shared" ref="G8:G165" si="1">B8*0.1</f>
        <v>159.5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 t="s">
        <v>285</v>
      </c>
      <c r="B9" s="113">
        <v>-12585.0</v>
      </c>
      <c r="C9" s="114" t="s">
        <v>286</v>
      </c>
      <c r="D9" s="115">
        <v>46082.0</v>
      </c>
      <c r="E9" s="116" t="s">
        <v>52</v>
      </c>
      <c r="F9" s="112" t="s">
        <v>24</v>
      </c>
      <c r="G9" s="90">
        <f t="shared" si="1"/>
        <v>-1258.5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 t="s">
        <v>71</v>
      </c>
      <c r="B10" s="113">
        <v>-4351.47</v>
      </c>
      <c r="C10" s="114" t="s">
        <v>287</v>
      </c>
      <c r="D10" s="115">
        <v>46082.0</v>
      </c>
      <c r="E10" s="116" t="s">
        <v>52</v>
      </c>
      <c r="F10" s="112" t="s">
        <v>53</v>
      </c>
      <c r="G10" s="90">
        <f t="shared" si="1"/>
        <v>-435.147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 t="s">
        <v>71</v>
      </c>
      <c r="B11" s="113">
        <v>-450.0</v>
      </c>
      <c r="C11" s="114" t="s">
        <v>288</v>
      </c>
      <c r="D11" s="115">
        <v>46082.0</v>
      </c>
      <c r="E11" s="116" t="s">
        <v>52</v>
      </c>
      <c r="F11" s="112" t="s">
        <v>53</v>
      </c>
      <c r="G11" s="90">
        <f t="shared" si="1"/>
        <v>-45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 t="s">
        <v>289</v>
      </c>
      <c r="B12" s="113">
        <v>20.0</v>
      </c>
      <c r="C12" s="114" t="s">
        <v>290</v>
      </c>
      <c r="D12" s="115">
        <v>46083.0</v>
      </c>
      <c r="E12" s="116" t="s">
        <v>52</v>
      </c>
      <c r="F12" s="112" t="s">
        <v>20</v>
      </c>
      <c r="G12" s="90">
        <f t="shared" si="1"/>
        <v>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 t="s">
        <v>89</v>
      </c>
      <c r="B13" s="113">
        <v>1856.79</v>
      </c>
      <c r="C13" s="114" t="s">
        <v>291</v>
      </c>
      <c r="D13" s="115">
        <v>46084.0</v>
      </c>
      <c r="E13" s="116" t="s">
        <v>52</v>
      </c>
      <c r="F13" s="112" t="s">
        <v>20</v>
      </c>
      <c r="G13" s="90">
        <f t="shared" si="1"/>
        <v>185.679</v>
      </c>
      <c r="H13" s="114"/>
      <c r="I13" s="115"/>
      <c r="J13" s="116"/>
      <c r="K13" s="1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 t="s">
        <v>96</v>
      </c>
      <c r="B14" s="113">
        <v>138.0</v>
      </c>
      <c r="C14" s="114" t="s">
        <v>292</v>
      </c>
      <c r="D14" s="115">
        <v>46086.0</v>
      </c>
      <c r="E14" s="116" t="s">
        <v>52</v>
      </c>
      <c r="F14" s="112" t="s">
        <v>20</v>
      </c>
      <c r="G14" s="90">
        <f t="shared" si="1"/>
        <v>13.8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 t="s">
        <v>50</v>
      </c>
      <c r="B15" s="113">
        <v>1726.15</v>
      </c>
      <c r="C15" s="114" t="s">
        <v>293</v>
      </c>
      <c r="D15" s="115">
        <v>46086.0</v>
      </c>
      <c r="E15" s="116" t="s">
        <v>52</v>
      </c>
      <c r="F15" s="112" t="s">
        <v>68</v>
      </c>
      <c r="G15" s="90">
        <f t="shared" si="1"/>
        <v>172.615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2" t="s">
        <v>218</v>
      </c>
      <c r="B16" s="113">
        <v>8115.0</v>
      </c>
      <c r="C16" s="114" t="s">
        <v>294</v>
      </c>
      <c r="D16" s="115">
        <v>46086.0</v>
      </c>
      <c r="E16" s="116" t="s">
        <v>52</v>
      </c>
      <c r="F16" s="112" t="s">
        <v>53</v>
      </c>
      <c r="G16" s="90">
        <f t="shared" si="1"/>
        <v>811.5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2" t="s">
        <v>82</v>
      </c>
      <c r="B17" s="113">
        <v>1695.0</v>
      </c>
      <c r="C17" s="114" t="s">
        <v>295</v>
      </c>
      <c r="D17" s="115">
        <v>46087.0</v>
      </c>
      <c r="E17" s="116" t="s">
        <v>52</v>
      </c>
      <c r="F17" s="112" t="s">
        <v>41</v>
      </c>
      <c r="G17" s="90">
        <f t="shared" si="1"/>
        <v>169.5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2" t="s">
        <v>296</v>
      </c>
      <c r="B18" s="113">
        <v>1895.0</v>
      </c>
      <c r="C18" s="114" t="s">
        <v>297</v>
      </c>
      <c r="D18" s="115">
        <v>46087.0</v>
      </c>
      <c r="E18" s="116" t="s">
        <v>52</v>
      </c>
      <c r="F18" s="112" t="s">
        <v>41</v>
      </c>
      <c r="G18" s="90">
        <f t="shared" si="1"/>
        <v>189.5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2" t="s">
        <v>298</v>
      </c>
      <c r="B19" s="113">
        <v>7750.0</v>
      </c>
      <c r="C19" s="114" t="s">
        <v>299</v>
      </c>
      <c r="D19" s="115">
        <v>46087.0</v>
      </c>
      <c r="E19" s="116" t="s">
        <v>52</v>
      </c>
      <c r="F19" s="112" t="s">
        <v>41</v>
      </c>
      <c r="G19" s="90">
        <f t="shared" si="1"/>
        <v>775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2" t="s">
        <v>300</v>
      </c>
      <c r="B20" s="113">
        <v>9975.0</v>
      </c>
      <c r="C20" s="114" t="s">
        <v>301</v>
      </c>
      <c r="D20" s="115">
        <v>46087.0</v>
      </c>
      <c r="E20" s="116" t="s">
        <v>52</v>
      </c>
      <c r="F20" s="112" t="s">
        <v>41</v>
      </c>
      <c r="G20" s="90">
        <f t="shared" si="1"/>
        <v>997.5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2" t="s">
        <v>302</v>
      </c>
      <c r="B21" s="113">
        <v>8650.0</v>
      </c>
      <c r="C21" s="114" t="s">
        <v>303</v>
      </c>
      <c r="D21" s="115">
        <v>46087.0</v>
      </c>
      <c r="E21" s="116" t="s">
        <v>52</v>
      </c>
      <c r="F21" s="112" t="s">
        <v>41</v>
      </c>
      <c r="G21" s="90">
        <f t="shared" si="1"/>
        <v>865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2" t="s">
        <v>137</v>
      </c>
      <c r="B22" s="113">
        <v>995.0</v>
      </c>
      <c r="C22" s="114" t="s">
        <v>304</v>
      </c>
      <c r="D22" s="115">
        <v>46087.0</v>
      </c>
      <c r="E22" s="116" t="s">
        <v>52</v>
      </c>
      <c r="F22" s="112" t="s">
        <v>41</v>
      </c>
      <c r="G22" s="90">
        <f t="shared" si="1"/>
        <v>99.5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2" t="s">
        <v>305</v>
      </c>
      <c r="B23" s="113">
        <v>1950.0</v>
      </c>
      <c r="C23" s="114" t="s">
        <v>306</v>
      </c>
      <c r="D23" s="115">
        <v>46087.0</v>
      </c>
      <c r="E23" s="116" t="s">
        <v>52</v>
      </c>
      <c r="F23" s="112" t="s">
        <v>41</v>
      </c>
      <c r="G23" s="90">
        <f t="shared" si="1"/>
        <v>195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2" t="s">
        <v>307</v>
      </c>
      <c r="B24" s="113">
        <v>9475.0</v>
      </c>
      <c r="C24" s="114" t="s">
        <v>308</v>
      </c>
      <c r="D24" s="115">
        <v>46087.0</v>
      </c>
      <c r="E24" s="116" t="s">
        <v>52</v>
      </c>
      <c r="F24" s="112" t="s">
        <v>41</v>
      </c>
      <c r="G24" s="90">
        <f t="shared" si="1"/>
        <v>947.5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2" t="s">
        <v>309</v>
      </c>
      <c r="B25" s="113">
        <v>1050.0</v>
      </c>
      <c r="C25" s="114" t="s">
        <v>310</v>
      </c>
      <c r="D25" s="115">
        <v>46087.0</v>
      </c>
      <c r="E25" s="116" t="s">
        <v>52</v>
      </c>
      <c r="F25" s="112" t="s">
        <v>41</v>
      </c>
      <c r="G25" s="90">
        <f t="shared" si="1"/>
        <v>105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2" t="s">
        <v>64</v>
      </c>
      <c r="B26" s="113">
        <v>2300.0</v>
      </c>
      <c r="C26" s="114" t="s">
        <v>311</v>
      </c>
      <c r="D26" s="115">
        <v>46087.0</v>
      </c>
      <c r="E26" s="116" t="s">
        <v>52</v>
      </c>
      <c r="F26" s="112" t="s">
        <v>41</v>
      </c>
      <c r="G26" s="90">
        <f t="shared" si="1"/>
        <v>230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2" t="s">
        <v>96</v>
      </c>
      <c r="B27" s="113">
        <v>4325.0</v>
      </c>
      <c r="C27" s="114" t="s">
        <v>312</v>
      </c>
      <c r="D27" s="115">
        <v>46087.0</v>
      </c>
      <c r="E27" s="116" t="s">
        <v>52</v>
      </c>
      <c r="F27" s="112" t="s">
        <v>41</v>
      </c>
      <c r="G27" s="90">
        <f t="shared" si="1"/>
        <v>432.5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2" t="s">
        <v>201</v>
      </c>
      <c r="B28" s="113">
        <v>665.0</v>
      </c>
      <c r="C28" s="114" t="s">
        <v>313</v>
      </c>
      <c r="D28" s="115">
        <v>46087.0</v>
      </c>
      <c r="E28" s="116" t="s">
        <v>52</v>
      </c>
      <c r="F28" s="112" t="s">
        <v>53</v>
      </c>
      <c r="G28" s="90">
        <f t="shared" si="1"/>
        <v>66.5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2" t="s">
        <v>314</v>
      </c>
      <c r="B29" s="113">
        <v>11111.86</v>
      </c>
      <c r="C29" s="114" t="s">
        <v>315</v>
      </c>
      <c r="D29" s="115">
        <v>46087.0</v>
      </c>
      <c r="E29" s="116" t="s">
        <v>52</v>
      </c>
      <c r="F29" s="112" t="s">
        <v>20</v>
      </c>
      <c r="G29" s="90">
        <f t="shared" si="1"/>
        <v>1111.186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2" t="s">
        <v>110</v>
      </c>
      <c r="B30" s="113">
        <v>187.5</v>
      </c>
      <c r="C30" s="114" t="s">
        <v>316</v>
      </c>
      <c r="D30" s="115">
        <v>46090.0</v>
      </c>
      <c r="E30" s="116" t="s">
        <v>52</v>
      </c>
      <c r="F30" s="112" t="s">
        <v>53</v>
      </c>
      <c r="G30" s="90">
        <f t="shared" si="1"/>
        <v>18.75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2" t="s">
        <v>317</v>
      </c>
      <c r="B31" s="113">
        <v>1158.02</v>
      </c>
      <c r="C31" s="114" t="s">
        <v>318</v>
      </c>
      <c r="D31" s="115">
        <v>46090.0</v>
      </c>
      <c r="E31" s="116" t="s">
        <v>52</v>
      </c>
      <c r="F31" s="112" t="s">
        <v>20</v>
      </c>
      <c r="G31" s="90">
        <f t="shared" si="1"/>
        <v>115.802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2" t="s">
        <v>108</v>
      </c>
      <c r="B32" s="113">
        <v>218.75</v>
      </c>
      <c r="C32" s="114" t="s">
        <v>319</v>
      </c>
      <c r="D32" s="115">
        <v>46090.0</v>
      </c>
      <c r="E32" s="116" t="s">
        <v>52</v>
      </c>
      <c r="F32" s="112" t="s">
        <v>53</v>
      </c>
      <c r="G32" s="90">
        <f t="shared" si="1"/>
        <v>21.875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12" t="s">
        <v>271</v>
      </c>
      <c r="B33" s="113">
        <v>80.0</v>
      </c>
      <c r="C33" s="114" t="s">
        <v>320</v>
      </c>
      <c r="D33" s="115">
        <v>46090.0</v>
      </c>
      <c r="E33" s="116" t="s">
        <v>52</v>
      </c>
      <c r="F33" s="112" t="s">
        <v>20</v>
      </c>
      <c r="G33" s="90">
        <f t="shared" si="1"/>
        <v>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12" t="s">
        <v>50</v>
      </c>
      <c r="B34" s="113">
        <v>795.0</v>
      </c>
      <c r="C34" s="114" t="s">
        <v>321</v>
      </c>
      <c r="D34" s="115">
        <v>46090.0</v>
      </c>
      <c r="E34" s="116" t="s">
        <v>52</v>
      </c>
      <c r="F34" s="112" t="s">
        <v>20</v>
      </c>
      <c r="G34" s="90">
        <f t="shared" si="1"/>
        <v>79.5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12" t="s">
        <v>73</v>
      </c>
      <c r="B35" s="113">
        <v>239.75</v>
      </c>
      <c r="C35" s="114" t="s">
        <v>322</v>
      </c>
      <c r="D35" s="115">
        <v>46090.0</v>
      </c>
      <c r="E35" s="116" t="s">
        <v>52</v>
      </c>
      <c r="F35" s="112" t="s">
        <v>20</v>
      </c>
      <c r="G35" s="90">
        <f t="shared" si="1"/>
        <v>23.975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12" t="s">
        <v>89</v>
      </c>
      <c r="B36" s="113">
        <v>480.02</v>
      </c>
      <c r="C36" s="114" t="s">
        <v>323</v>
      </c>
      <c r="D36" s="115">
        <v>46090.0</v>
      </c>
      <c r="E36" s="116" t="s">
        <v>52</v>
      </c>
      <c r="F36" s="112" t="s">
        <v>20</v>
      </c>
      <c r="G36" s="90">
        <f t="shared" si="1"/>
        <v>48.002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12" t="s">
        <v>324</v>
      </c>
      <c r="B37" s="113">
        <v>241.63</v>
      </c>
      <c r="C37" s="114" t="s">
        <v>325</v>
      </c>
      <c r="D37" s="115">
        <v>46090.0</v>
      </c>
      <c r="E37" s="116" t="s">
        <v>52</v>
      </c>
      <c r="F37" s="112" t="s">
        <v>20</v>
      </c>
      <c r="G37" s="90">
        <f t="shared" si="1"/>
        <v>24.163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12" t="s">
        <v>271</v>
      </c>
      <c r="B38" s="113">
        <v>-1500.0</v>
      </c>
      <c r="C38" s="114" t="s">
        <v>326</v>
      </c>
      <c r="D38" s="115">
        <v>46090.0</v>
      </c>
      <c r="E38" s="116" t="s">
        <v>52</v>
      </c>
      <c r="F38" s="112" t="s">
        <v>53</v>
      </c>
      <c r="G38" s="90">
        <f t="shared" si="1"/>
        <v>-150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12" t="s">
        <v>269</v>
      </c>
      <c r="B39" s="113">
        <v>-1500.0</v>
      </c>
      <c r="C39" s="114" t="s">
        <v>327</v>
      </c>
      <c r="D39" s="115">
        <v>46090.0</v>
      </c>
      <c r="E39" s="116" t="s">
        <v>52</v>
      </c>
      <c r="F39" s="112" t="s">
        <v>53</v>
      </c>
      <c r="G39" s="90">
        <f t="shared" si="1"/>
        <v>-150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12" t="s">
        <v>328</v>
      </c>
      <c r="B40" s="113">
        <v>3633.83</v>
      </c>
      <c r="C40" s="114" t="s">
        <v>329</v>
      </c>
      <c r="D40" s="115">
        <v>46091.0</v>
      </c>
      <c r="E40" s="116" t="s">
        <v>52</v>
      </c>
      <c r="F40" s="112" t="s">
        <v>21</v>
      </c>
      <c r="G40" s="90">
        <f t="shared" si="1"/>
        <v>363.383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12" t="s">
        <v>112</v>
      </c>
      <c r="B41" s="113">
        <v>31.25</v>
      </c>
      <c r="C41" s="114" t="s">
        <v>330</v>
      </c>
      <c r="D41" s="115">
        <v>46091.0</v>
      </c>
      <c r="E41" s="116" t="s">
        <v>52</v>
      </c>
      <c r="F41" s="112" t="s">
        <v>53</v>
      </c>
      <c r="G41" s="90">
        <f t="shared" si="1"/>
        <v>3.125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12" t="s">
        <v>69</v>
      </c>
      <c r="B42" s="113">
        <v>161.38</v>
      </c>
      <c r="C42" s="114" t="s">
        <v>331</v>
      </c>
      <c r="D42" s="115">
        <v>46091.0</v>
      </c>
      <c r="E42" s="116" t="s">
        <v>52</v>
      </c>
      <c r="F42" s="112" t="s">
        <v>20</v>
      </c>
      <c r="G42" s="90">
        <f t="shared" si="1"/>
        <v>16.138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12" t="s">
        <v>86</v>
      </c>
      <c r="B43" s="113">
        <v>50.0</v>
      </c>
      <c r="C43" s="114" t="s">
        <v>332</v>
      </c>
      <c r="D43" s="115">
        <v>46092.0</v>
      </c>
      <c r="E43" s="116" t="s">
        <v>52</v>
      </c>
      <c r="F43" s="112" t="s">
        <v>53</v>
      </c>
      <c r="G43" s="90">
        <f t="shared" si="1"/>
        <v>5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12" t="s">
        <v>75</v>
      </c>
      <c r="B44" s="113">
        <v>50.0</v>
      </c>
      <c r="C44" s="114" t="s">
        <v>333</v>
      </c>
      <c r="D44" s="115">
        <v>46092.0</v>
      </c>
      <c r="E44" s="116" t="s">
        <v>52</v>
      </c>
      <c r="F44" s="112" t="s">
        <v>53</v>
      </c>
      <c r="G44" s="90">
        <f t="shared" si="1"/>
        <v>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12" t="s">
        <v>84</v>
      </c>
      <c r="B45" s="113">
        <v>50.0</v>
      </c>
      <c r="C45" s="114" t="s">
        <v>334</v>
      </c>
      <c r="D45" s="115">
        <v>46092.0</v>
      </c>
      <c r="E45" s="116" t="s">
        <v>52</v>
      </c>
      <c r="F45" s="112" t="s">
        <v>53</v>
      </c>
      <c r="G45" s="90">
        <f t="shared" si="1"/>
        <v>5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12" t="s">
        <v>50</v>
      </c>
      <c r="B46" s="113">
        <v>1701.45</v>
      </c>
      <c r="C46" s="114" t="s">
        <v>335</v>
      </c>
      <c r="D46" s="115">
        <v>46093.0</v>
      </c>
      <c r="E46" s="116" t="s">
        <v>52</v>
      </c>
      <c r="F46" s="112" t="s">
        <v>68</v>
      </c>
      <c r="G46" s="90">
        <f t="shared" si="1"/>
        <v>170.145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12" t="s">
        <v>125</v>
      </c>
      <c r="B47" s="113">
        <v>50.0</v>
      </c>
      <c r="C47" s="114" t="s">
        <v>336</v>
      </c>
      <c r="D47" s="115">
        <v>46093.0</v>
      </c>
      <c r="E47" s="116" t="s">
        <v>52</v>
      </c>
      <c r="F47" s="112" t="s">
        <v>20</v>
      </c>
      <c r="G47" s="90">
        <f t="shared" si="1"/>
        <v>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12" t="s">
        <v>337</v>
      </c>
      <c r="B48" s="113">
        <v>5276.17</v>
      </c>
      <c r="C48" s="114" t="s">
        <v>338</v>
      </c>
      <c r="D48" s="115">
        <v>46094.0</v>
      </c>
      <c r="E48" s="116" t="s">
        <v>52</v>
      </c>
      <c r="F48" s="112" t="s">
        <v>20</v>
      </c>
      <c r="G48" s="90">
        <f t="shared" si="1"/>
        <v>527.617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12" t="s">
        <v>339</v>
      </c>
      <c r="B49" s="113">
        <v>36848.0</v>
      </c>
      <c r="C49" s="114" t="s">
        <v>340</v>
      </c>
      <c r="D49" s="115">
        <v>46094.0</v>
      </c>
      <c r="E49" s="116" t="s">
        <v>52</v>
      </c>
      <c r="F49" s="112" t="s">
        <v>41</v>
      </c>
      <c r="G49" s="90">
        <f t="shared" si="1"/>
        <v>3684.8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12" t="s">
        <v>151</v>
      </c>
      <c r="B50" s="113">
        <v>3680.84</v>
      </c>
      <c r="C50" s="114" t="s">
        <v>341</v>
      </c>
      <c r="D50" s="115">
        <v>46094.0</v>
      </c>
      <c r="E50" s="116" t="s">
        <v>52</v>
      </c>
      <c r="F50" s="112" t="s">
        <v>20</v>
      </c>
      <c r="G50" s="90">
        <f t="shared" si="1"/>
        <v>368.084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12" t="s">
        <v>96</v>
      </c>
      <c r="B51" s="113">
        <v>450.4</v>
      </c>
      <c r="C51" s="114" t="s">
        <v>342</v>
      </c>
      <c r="D51" s="115">
        <v>46097.0</v>
      </c>
      <c r="E51" s="116" t="s">
        <v>52</v>
      </c>
      <c r="F51" s="112" t="s">
        <v>21</v>
      </c>
      <c r="G51" s="90">
        <f t="shared" si="1"/>
        <v>45.04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12" t="s">
        <v>139</v>
      </c>
      <c r="B52" s="113">
        <v>450.4</v>
      </c>
      <c r="C52" s="114" t="s">
        <v>343</v>
      </c>
      <c r="D52" s="115">
        <v>46097.0</v>
      </c>
      <c r="E52" s="116" t="s">
        <v>52</v>
      </c>
      <c r="F52" s="112" t="s">
        <v>21</v>
      </c>
      <c r="G52" s="90">
        <f t="shared" si="1"/>
        <v>45.04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12" t="s">
        <v>69</v>
      </c>
      <c r="B53" s="113">
        <v>2886.62</v>
      </c>
      <c r="C53" s="114" t="s">
        <v>344</v>
      </c>
      <c r="D53" s="115">
        <v>46097.0</v>
      </c>
      <c r="E53" s="116" t="s">
        <v>52</v>
      </c>
      <c r="F53" s="112" t="s">
        <v>20</v>
      </c>
      <c r="G53" s="90">
        <f t="shared" si="1"/>
        <v>288.662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12" t="s">
        <v>314</v>
      </c>
      <c r="B54" s="113">
        <v>3970.7</v>
      </c>
      <c r="C54" s="114" t="s">
        <v>345</v>
      </c>
      <c r="D54" s="115">
        <v>46098.0</v>
      </c>
      <c r="E54" s="116" t="s">
        <v>52</v>
      </c>
      <c r="F54" s="112" t="s">
        <v>21</v>
      </c>
      <c r="G54" s="90">
        <f t="shared" si="1"/>
        <v>397.07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12" t="s">
        <v>110</v>
      </c>
      <c r="B55" s="113">
        <v>187.5</v>
      </c>
      <c r="C55" s="114" t="s">
        <v>346</v>
      </c>
      <c r="D55" s="115">
        <v>46098.0</v>
      </c>
      <c r="E55" s="116" t="s">
        <v>52</v>
      </c>
      <c r="F55" s="112" t="s">
        <v>53</v>
      </c>
      <c r="G55" s="90">
        <f t="shared" si="1"/>
        <v>18.75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12" t="s">
        <v>347</v>
      </c>
      <c r="B56" s="113">
        <v>930.0</v>
      </c>
      <c r="C56" s="114" t="s">
        <v>348</v>
      </c>
      <c r="D56" s="115">
        <v>46098.0</v>
      </c>
      <c r="E56" s="116" t="s">
        <v>52</v>
      </c>
      <c r="F56" s="112" t="s">
        <v>20</v>
      </c>
      <c r="G56" s="90">
        <f t="shared" si="1"/>
        <v>93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12" t="s">
        <v>50</v>
      </c>
      <c r="B57" s="113">
        <v>728.4</v>
      </c>
      <c r="C57" s="114" t="s">
        <v>349</v>
      </c>
      <c r="D57" s="115">
        <v>46099.0</v>
      </c>
      <c r="E57" s="116" t="s">
        <v>52</v>
      </c>
      <c r="F57" s="112" t="s">
        <v>20</v>
      </c>
      <c r="G57" s="90">
        <f t="shared" si="1"/>
        <v>72.84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12" t="s">
        <v>350</v>
      </c>
      <c r="B58" s="113">
        <v>2450.0</v>
      </c>
      <c r="C58" s="114" t="s">
        <v>351</v>
      </c>
      <c r="D58" s="115">
        <v>46099.0</v>
      </c>
      <c r="E58" s="116" t="s">
        <v>52</v>
      </c>
      <c r="F58" s="112" t="s">
        <v>21</v>
      </c>
      <c r="G58" s="90">
        <f t="shared" si="1"/>
        <v>245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12" t="s">
        <v>184</v>
      </c>
      <c r="B59" s="113">
        <v>100.81</v>
      </c>
      <c r="C59" s="114" t="s">
        <v>352</v>
      </c>
      <c r="D59" s="115">
        <v>46100.0</v>
      </c>
      <c r="E59" s="116" t="s">
        <v>52</v>
      </c>
      <c r="F59" s="112" t="s">
        <v>20</v>
      </c>
      <c r="G59" s="90">
        <f t="shared" si="1"/>
        <v>10.081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12" t="s">
        <v>353</v>
      </c>
      <c r="B60" s="113">
        <v>1227.75</v>
      </c>
      <c r="C60" s="114" t="s">
        <v>354</v>
      </c>
      <c r="D60" s="115">
        <v>46100.0</v>
      </c>
      <c r="E60" s="116" t="s">
        <v>52</v>
      </c>
      <c r="F60" s="112" t="s">
        <v>20</v>
      </c>
      <c r="G60" s="90">
        <f t="shared" si="1"/>
        <v>122.775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12" t="s">
        <v>305</v>
      </c>
      <c r="B61" s="113">
        <v>245.84</v>
      </c>
      <c r="C61" s="114" t="s">
        <v>355</v>
      </c>
      <c r="D61" s="115">
        <v>46100.0</v>
      </c>
      <c r="E61" s="116" t="s">
        <v>52</v>
      </c>
      <c r="F61" s="112" t="s">
        <v>20</v>
      </c>
      <c r="G61" s="90">
        <f t="shared" si="1"/>
        <v>24.584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12" t="s">
        <v>50</v>
      </c>
      <c r="B62" s="113">
        <v>2224.9</v>
      </c>
      <c r="C62" s="114" t="s">
        <v>356</v>
      </c>
      <c r="D62" s="115">
        <v>46100.0</v>
      </c>
      <c r="E62" s="116" t="s">
        <v>52</v>
      </c>
      <c r="F62" s="112" t="s">
        <v>68</v>
      </c>
      <c r="G62" s="90">
        <f t="shared" si="1"/>
        <v>222.49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12" t="s">
        <v>296</v>
      </c>
      <c r="B63" s="113">
        <v>1895.0</v>
      </c>
      <c r="C63" s="114" t="s">
        <v>357</v>
      </c>
      <c r="D63" s="115">
        <v>46101.0</v>
      </c>
      <c r="E63" s="116" t="s">
        <v>52</v>
      </c>
      <c r="F63" s="112" t="s">
        <v>41</v>
      </c>
      <c r="G63" s="90">
        <f t="shared" si="1"/>
        <v>189.5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12" t="s">
        <v>96</v>
      </c>
      <c r="B64" s="113">
        <v>925.0</v>
      </c>
      <c r="C64" s="114" t="s">
        <v>358</v>
      </c>
      <c r="D64" s="115">
        <v>46101.0</v>
      </c>
      <c r="E64" s="116" t="s">
        <v>52</v>
      </c>
      <c r="F64" s="112" t="s">
        <v>41</v>
      </c>
      <c r="G64" s="90">
        <f t="shared" si="1"/>
        <v>92.5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12" t="s">
        <v>50</v>
      </c>
      <c r="B65" s="113">
        <v>10604.18</v>
      </c>
      <c r="C65" s="114" t="s">
        <v>359</v>
      </c>
      <c r="D65" s="115">
        <v>46101.0</v>
      </c>
      <c r="E65" s="116" t="s">
        <v>52</v>
      </c>
      <c r="F65" s="112" t="s">
        <v>20</v>
      </c>
      <c r="G65" s="90">
        <f t="shared" si="1"/>
        <v>1060.418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12" t="s">
        <v>69</v>
      </c>
      <c r="B66" s="113">
        <v>420.0</v>
      </c>
      <c r="C66" s="114" t="s">
        <v>360</v>
      </c>
      <c r="D66" s="115">
        <v>46101.0</v>
      </c>
      <c r="E66" s="116" t="s">
        <v>52</v>
      </c>
      <c r="F66" s="112" t="s">
        <v>20</v>
      </c>
      <c r="G66" s="90">
        <f t="shared" si="1"/>
        <v>42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12" t="s">
        <v>347</v>
      </c>
      <c r="B67" s="113">
        <v>492.5</v>
      </c>
      <c r="C67" s="114" t="s">
        <v>361</v>
      </c>
      <c r="D67" s="115">
        <v>46101.0</v>
      </c>
      <c r="E67" s="116" t="s">
        <v>52</v>
      </c>
      <c r="F67" s="112" t="s">
        <v>20</v>
      </c>
      <c r="G67" s="90">
        <f t="shared" si="1"/>
        <v>49.25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12" t="s">
        <v>347</v>
      </c>
      <c r="B68" s="113">
        <v>767.0</v>
      </c>
      <c r="C68" s="114" t="s">
        <v>362</v>
      </c>
      <c r="D68" s="115">
        <v>46101.0</v>
      </c>
      <c r="E68" s="116" t="s">
        <v>52</v>
      </c>
      <c r="F68" s="112" t="s">
        <v>20</v>
      </c>
      <c r="G68" s="90">
        <f t="shared" si="1"/>
        <v>76.7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12" t="s">
        <v>305</v>
      </c>
      <c r="B69" s="113">
        <v>1950.0</v>
      </c>
      <c r="C69" s="114" t="s">
        <v>363</v>
      </c>
      <c r="D69" s="115">
        <v>46101.0</v>
      </c>
      <c r="E69" s="116" t="s">
        <v>52</v>
      </c>
      <c r="F69" s="112" t="s">
        <v>41</v>
      </c>
      <c r="G69" s="90">
        <f t="shared" si="1"/>
        <v>195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12" t="s">
        <v>139</v>
      </c>
      <c r="B70" s="113">
        <v>1960.0</v>
      </c>
      <c r="C70" s="114" t="s">
        <v>364</v>
      </c>
      <c r="D70" s="115">
        <v>46101.0</v>
      </c>
      <c r="E70" s="116" t="s">
        <v>52</v>
      </c>
      <c r="F70" s="112" t="s">
        <v>41</v>
      </c>
      <c r="G70" s="90">
        <f t="shared" si="1"/>
        <v>196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12" t="s">
        <v>69</v>
      </c>
      <c r="B71" s="113">
        <v>8550.0</v>
      </c>
      <c r="C71" s="114" t="s">
        <v>365</v>
      </c>
      <c r="D71" s="115">
        <v>46101.0</v>
      </c>
      <c r="E71" s="116" t="s">
        <v>52</v>
      </c>
      <c r="F71" s="112" t="s">
        <v>41</v>
      </c>
      <c r="G71" s="90">
        <f t="shared" si="1"/>
        <v>855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12" t="s">
        <v>142</v>
      </c>
      <c r="B72" s="113">
        <v>2100.0</v>
      </c>
      <c r="C72" s="114" t="s">
        <v>366</v>
      </c>
      <c r="D72" s="115">
        <v>46101.0</v>
      </c>
      <c r="E72" s="116" t="s">
        <v>52</v>
      </c>
      <c r="F72" s="112" t="s">
        <v>41</v>
      </c>
      <c r="G72" s="90">
        <f t="shared" si="1"/>
        <v>210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12" t="s">
        <v>80</v>
      </c>
      <c r="B73" s="113">
        <v>93.75</v>
      </c>
      <c r="C73" s="114" t="s">
        <v>367</v>
      </c>
      <c r="D73" s="115">
        <v>46104.0</v>
      </c>
      <c r="E73" s="116" t="s">
        <v>52</v>
      </c>
      <c r="F73" s="112" t="s">
        <v>53</v>
      </c>
      <c r="G73" s="90">
        <f t="shared" si="1"/>
        <v>9.375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12" t="s">
        <v>163</v>
      </c>
      <c r="B74" s="113">
        <v>8285.99</v>
      </c>
      <c r="C74" s="114" t="s">
        <v>368</v>
      </c>
      <c r="D74" s="115">
        <v>46104.0</v>
      </c>
      <c r="E74" s="116" t="s">
        <v>52</v>
      </c>
      <c r="F74" s="112" t="s">
        <v>21</v>
      </c>
      <c r="G74" s="90">
        <f t="shared" si="1"/>
        <v>828.599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12" t="s">
        <v>214</v>
      </c>
      <c r="B75" s="113">
        <v>1187.5</v>
      </c>
      <c r="C75" s="114" t="s">
        <v>369</v>
      </c>
      <c r="D75" s="115">
        <v>46104.0</v>
      </c>
      <c r="E75" s="116" t="s">
        <v>52</v>
      </c>
      <c r="F75" s="112" t="s">
        <v>68</v>
      </c>
      <c r="G75" s="90">
        <f t="shared" si="1"/>
        <v>118.75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12" t="s">
        <v>192</v>
      </c>
      <c r="B76" s="113">
        <v>-300.0</v>
      </c>
      <c r="C76" s="114" t="s">
        <v>370</v>
      </c>
      <c r="D76" s="115">
        <v>46104.0</v>
      </c>
      <c r="E76" s="116" t="s">
        <v>52</v>
      </c>
      <c r="F76" s="112" t="s">
        <v>53</v>
      </c>
      <c r="G76" s="90">
        <f t="shared" si="1"/>
        <v>-30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12" t="s">
        <v>108</v>
      </c>
      <c r="B77" s="113">
        <v>281.25</v>
      </c>
      <c r="C77" s="114" t="s">
        <v>371</v>
      </c>
      <c r="D77" s="115">
        <v>46105.0</v>
      </c>
      <c r="E77" s="116" t="s">
        <v>52</v>
      </c>
      <c r="F77" s="112" t="s">
        <v>53</v>
      </c>
      <c r="G77" s="90">
        <f t="shared" si="1"/>
        <v>28.125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12" t="s">
        <v>372</v>
      </c>
      <c r="B78" s="113">
        <v>2125.0</v>
      </c>
      <c r="C78" s="114" t="s">
        <v>373</v>
      </c>
      <c r="D78" s="115">
        <v>46105.0</v>
      </c>
      <c r="E78" s="116" t="s">
        <v>52</v>
      </c>
      <c r="F78" s="112" t="s">
        <v>53</v>
      </c>
      <c r="G78" s="90">
        <f t="shared" si="1"/>
        <v>212.5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12" t="s">
        <v>374</v>
      </c>
      <c r="B79" s="113">
        <v>1470.47</v>
      </c>
      <c r="C79" s="114" t="s">
        <v>375</v>
      </c>
      <c r="D79" s="115">
        <v>46105.0</v>
      </c>
      <c r="E79" s="116" t="s">
        <v>52</v>
      </c>
      <c r="F79" s="112" t="s">
        <v>20</v>
      </c>
      <c r="G79" s="90">
        <f t="shared" si="1"/>
        <v>147.047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12" t="s">
        <v>376</v>
      </c>
      <c r="B80" s="113">
        <v>2572.29</v>
      </c>
      <c r="C80" s="114" t="s">
        <v>377</v>
      </c>
      <c r="D80" s="115">
        <v>46106.0</v>
      </c>
      <c r="E80" s="116" t="s">
        <v>52</v>
      </c>
      <c r="F80" s="112" t="s">
        <v>20</v>
      </c>
      <c r="G80" s="90">
        <f t="shared" si="1"/>
        <v>257.229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12" t="s">
        <v>289</v>
      </c>
      <c r="B81" s="113">
        <v>712.28</v>
      </c>
      <c r="C81" s="114" t="s">
        <v>378</v>
      </c>
      <c r="D81" s="115">
        <v>46106.0</v>
      </c>
      <c r="E81" s="116" t="s">
        <v>52</v>
      </c>
      <c r="F81" s="112" t="s">
        <v>20</v>
      </c>
      <c r="G81" s="90">
        <f t="shared" si="1"/>
        <v>71.228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12" t="s">
        <v>108</v>
      </c>
      <c r="B82" s="113">
        <v>502.5</v>
      </c>
      <c r="C82" s="114" t="s">
        <v>379</v>
      </c>
      <c r="D82" s="115">
        <v>46106.0</v>
      </c>
      <c r="E82" s="116" t="s">
        <v>52</v>
      </c>
      <c r="F82" s="112" t="s">
        <v>20</v>
      </c>
      <c r="G82" s="90">
        <f t="shared" si="1"/>
        <v>50.25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12" t="s">
        <v>108</v>
      </c>
      <c r="B83" s="113">
        <v>5896.8</v>
      </c>
      <c r="C83" s="114" t="s">
        <v>380</v>
      </c>
      <c r="D83" s="115">
        <v>46106.0</v>
      </c>
      <c r="E83" s="116" t="s">
        <v>52</v>
      </c>
      <c r="F83" s="112" t="s">
        <v>20</v>
      </c>
      <c r="G83" s="90">
        <f t="shared" si="1"/>
        <v>589.68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12" t="s">
        <v>179</v>
      </c>
      <c r="B84" s="113">
        <v>595.0</v>
      </c>
      <c r="C84" s="114" t="s">
        <v>381</v>
      </c>
      <c r="D84" s="115">
        <v>46107.0</v>
      </c>
      <c r="E84" s="116" t="s">
        <v>52</v>
      </c>
      <c r="F84" s="112" t="s">
        <v>20</v>
      </c>
      <c r="G84" s="90">
        <f t="shared" si="1"/>
        <v>59.5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112" t="s">
        <v>96</v>
      </c>
      <c r="B85" s="113">
        <v>925.0</v>
      </c>
      <c r="C85" s="114" t="s">
        <v>382</v>
      </c>
      <c r="D85" s="115">
        <v>46107.0</v>
      </c>
      <c r="E85" s="116" t="s">
        <v>52</v>
      </c>
      <c r="F85" s="112" t="s">
        <v>41</v>
      </c>
      <c r="G85" s="90">
        <f t="shared" si="1"/>
        <v>92.5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12" t="s">
        <v>383</v>
      </c>
      <c r="B86" s="113">
        <v>1600.0</v>
      </c>
      <c r="C86" s="114" t="s">
        <v>384</v>
      </c>
      <c r="D86" s="115">
        <v>46107.0</v>
      </c>
      <c r="E86" s="116" t="s">
        <v>52</v>
      </c>
      <c r="F86" s="112" t="s">
        <v>41</v>
      </c>
      <c r="G86" s="90">
        <f t="shared" si="1"/>
        <v>160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12" t="s">
        <v>50</v>
      </c>
      <c r="B87" s="113">
        <v>1760.35</v>
      </c>
      <c r="C87" s="114" t="s">
        <v>385</v>
      </c>
      <c r="D87" s="115">
        <v>46107.0</v>
      </c>
      <c r="E87" s="116" t="s">
        <v>52</v>
      </c>
      <c r="F87" s="112" t="s">
        <v>68</v>
      </c>
      <c r="G87" s="90">
        <f t="shared" si="1"/>
        <v>176.035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12" t="s">
        <v>82</v>
      </c>
      <c r="B88" s="113">
        <v>42.83</v>
      </c>
      <c r="C88" s="114" t="s">
        <v>386</v>
      </c>
      <c r="D88" s="115">
        <v>46107.0</v>
      </c>
      <c r="E88" s="116" t="s">
        <v>52</v>
      </c>
      <c r="F88" s="112" t="s">
        <v>20</v>
      </c>
      <c r="G88" s="90">
        <f t="shared" si="1"/>
        <v>4.283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12" t="s">
        <v>387</v>
      </c>
      <c r="B89" s="113">
        <v>1995.0</v>
      </c>
      <c r="C89" s="114" t="s">
        <v>388</v>
      </c>
      <c r="D89" s="115">
        <v>46108.0</v>
      </c>
      <c r="E89" s="116" t="s">
        <v>52</v>
      </c>
      <c r="F89" s="112" t="s">
        <v>41</v>
      </c>
      <c r="G89" s="90">
        <f t="shared" si="1"/>
        <v>199.5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12" t="s">
        <v>256</v>
      </c>
      <c r="B90" s="113">
        <v>405.0</v>
      </c>
      <c r="C90" s="114" t="s">
        <v>389</v>
      </c>
      <c r="D90" s="115">
        <v>46108.0</v>
      </c>
      <c r="E90" s="116" t="s">
        <v>52</v>
      </c>
      <c r="F90" s="112" t="s">
        <v>20</v>
      </c>
      <c r="G90" s="90">
        <f t="shared" si="1"/>
        <v>40.5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12" t="s">
        <v>390</v>
      </c>
      <c r="B91" s="113">
        <v>1995.0</v>
      </c>
      <c r="C91" s="114" t="s">
        <v>391</v>
      </c>
      <c r="D91" s="115">
        <v>46108.0</v>
      </c>
      <c r="E91" s="116" t="s">
        <v>52</v>
      </c>
      <c r="F91" s="112" t="s">
        <v>41</v>
      </c>
      <c r="G91" s="90">
        <f t="shared" si="1"/>
        <v>199.5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112" t="s">
        <v>184</v>
      </c>
      <c r="B92" s="113">
        <v>100.81</v>
      </c>
      <c r="C92" s="114" t="s">
        <v>392</v>
      </c>
      <c r="D92" s="115">
        <v>46111.0</v>
      </c>
      <c r="E92" s="116" t="s">
        <v>52</v>
      </c>
      <c r="F92" s="112" t="s">
        <v>20</v>
      </c>
      <c r="G92" s="90">
        <f t="shared" si="1"/>
        <v>10.081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112" t="s">
        <v>108</v>
      </c>
      <c r="B93" s="113">
        <v>62.5</v>
      </c>
      <c r="C93" s="114" t="s">
        <v>393</v>
      </c>
      <c r="D93" s="115">
        <v>46111.0</v>
      </c>
      <c r="E93" s="116" t="s">
        <v>52</v>
      </c>
      <c r="F93" s="112" t="s">
        <v>53</v>
      </c>
      <c r="G93" s="90">
        <f t="shared" si="1"/>
        <v>6.25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112" t="s">
        <v>50</v>
      </c>
      <c r="B94" s="113">
        <v>8700.0</v>
      </c>
      <c r="C94" s="114" t="s">
        <v>394</v>
      </c>
      <c r="D94" s="115">
        <v>46111.0</v>
      </c>
      <c r="E94" s="116" t="s">
        <v>52</v>
      </c>
      <c r="F94" s="112" t="s">
        <v>53</v>
      </c>
      <c r="G94" s="90">
        <f t="shared" si="1"/>
        <v>870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112" t="s">
        <v>69</v>
      </c>
      <c r="B95" s="113">
        <v>794.0</v>
      </c>
      <c r="C95" s="114" t="s">
        <v>395</v>
      </c>
      <c r="D95" s="115">
        <v>46111.0</v>
      </c>
      <c r="E95" s="116" t="s">
        <v>52</v>
      </c>
      <c r="F95" s="112" t="s">
        <v>20</v>
      </c>
      <c r="G95" s="90">
        <f t="shared" si="1"/>
        <v>79.4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112" t="s">
        <v>396</v>
      </c>
      <c r="B96" s="113">
        <v>5309.14</v>
      </c>
      <c r="C96" s="114" t="s">
        <v>397</v>
      </c>
      <c r="D96" s="115">
        <v>46111.0</v>
      </c>
      <c r="E96" s="116" t="s">
        <v>52</v>
      </c>
      <c r="F96" s="112" t="s">
        <v>20</v>
      </c>
      <c r="G96" s="90">
        <f t="shared" si="1"/>
        <v>530.914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112" t="s">
        <v>73</v>
      </c>
      <c r="B97" s="113">
        <v>975.41</v>
      </c>
      <c r="C97" s="114" t="s">
        <v>398</v>
      </c>
      <c r="D97" s="115">
        <v>46111.0</v>
      </c>
      <c r="E97" s="116" t="s">
        <v>52</v>
      </c>
      <c r="F97" s="112" t="s">
        <v>20</v>
      </c>
      <c r="G97" s="90">
        <f t="shared" si="1"/>
        <v>97.541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112" t="s">
        <v>399</v>
      </c>
      <c r="B98" s="113">
        <v>6975.0</v>
      </c>
      <c r="C98" s="114" t="s">
        <v>400</v>
      </c>
      <c r="D98" s="115">
        <v>46111.0</v>
      </c>
      <c r="E98" s="116" t="s">
        <v>52</v>
      </c>
      <c r="F98" s="112" t="s">
        <v>21</v>
      </c>
      <c r="G98" s="90">
        <f t="shared" si="1"/>
        <v>697.5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12" t="s">
        <v>60</v>
      </c>
      <c r="B99" s="113">
        <v>150.0</v>
      </c>
      <c r="C99" s="114" t="s">
        <v>401</v>
      </c>
      <c r="D99" s="115">
        <v>46112.0</v>
      </c>
      <c r="E99" s="116" t="s">
        <v>52</v>
      </c>
      <c r="F99" s="112" t="s">
        <v>53</v>
      </c>
      <c r="G99" s="90">
        <f t="shared" si="1"/>
        <v>15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12" t="s">
        <v>50</v>
      </c>
      <c r="B100" s="113">
        <v>5718.75</v>
      </c>
      <c r="C100" s="114" t="s">
        <v>402</v>
      </c>
      <c r="D100" s="115">
        <v>46112.0</v>
      </c>
      <c r="E100" s="116" t="s">
        <v>52</v>
      </c>
      <c r="F100" s="112" t="s">
        <v>53</v>
      </c>
      <c r="G100" s="90">
        <f t="shared" si="1"/>
        <v>571.875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12" t="s">
        <v>82</v>
      </c>
      <c r="B101" s="113">
        <v>4882.5</v>
      </c>
      <c r="C101" s="114" t="s">
        <v>403</v>
      </c>
      <c r="D101" s="115">
        <v>46112.0</v>
      </c>
      <c r="E101" s="116" t="s">
        <v>52</v>
      </c>
      <c r="F101" s="112" t="s">
        <v>53</v>
      </c>
      <c r="G101" s="90">
        <f t="shared" si="1"/>
        <v>488.25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112" t="s">
        <v>246</v>
      </c>
      <c r="B102" s="113">
        <v>218.75</v>
      </c>
      <c r="C102" s="114" t="s">
        <v>404</v>
      </c>
      <c r="D102" s="115">
        <v>46112.0</v>
      </c>
      <c r="E102" s="116" t="s">
        <v>52</v>
      </c>
      <c r="F102" s="112" t="s">
        <v>53</v>
      </c>
      <c r="G102" s="90">
        <f t="shared" si="1"/>
        <v>21.875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112" t="s">
        <v>179</v>
      </c>
      <c r="B103" s="113">
        <v>3156.25</v>
      </c>
      <c r="C103" s="114" t="s">
        <v>405</v>
      </c>
      <c r="D103" s="115">
        <v>46112.0</v>
      </c>
      <c r="E103" s="116" t="s">
        <v>52</v>
      </c>
      <c r="F103" s="112" t="s">
        <v>53</v>
      </c>
      <c r="G103" s="90">
        <f t="shared" si="1"/>
        <v>315.625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112" t="s">
        <v>84</v>
      </c>
      <c r="B104" s="113">
        <v>3012.5</v>
      </c>
      <c r="C104" s="114" t="s">
        <v>406</v>
      </c>
      <c r="D104" s="115">
        <v>46112.0</v>
      </c>
      <c r="E104" s="116" t="s">
        <v>52</v>
      </c>
      <c r="F104" s="112" t="s">
        <v>53</v>
      </c>
      <c r="G104" s="113">
        <f t="shared" si="1"/>
        <v>301.25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112" t="s">
        <v>181</v>
      </c>
      <c r="B105" s="113">
        <v>750.0</v>
      </c>
      <c r="C105" s="114" t="s">
        <v>407</v>
      </c>
      <c r="D105" s="115">
        <v>46112.0</v>
      </c>
      <c r="E105" s="116" t="s">
        <v>52</v>
      </c>
      <c r="F105" s="112" t="s">
        <v>53</v>
      </c>
      <c r="G105" s="90">
        <f t="shared" si="1"/>
        <v>75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112" t="s">
        <v>269</v>
      </c>
      <c r="B106" s="113">
        <v>1237.5</v>
      </c>
      <c r="C106" s="114" t="s">
        <v>408</v>
      </c>
      <c r="D106" s="115">
        <v>46112.0</v>
      </c>
      <c r="E106" s="116" t="s">
        <v>52</v>
      </c>
      <c r="F106" s="112" t="s">
        <v>53</v>
      </c>
      <c r="G106" s="90">
        <f t="shared" si="1"/>
        <v>123.75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112" t="s">
        <v>271</v>
      </c>
      <c r="B107" s="113">
        <v>1237.5</v>
      </c>
      <c r="C107" s="114" t="s">
        <v>409</v>
      </c>
      <c r="D107" s="115">
        <v>46112.0</v>
      </c>
      <c r="E107" s="116" t="s">
        <v>52</v>
      </c>
      <c r="F107" s="112" t="s">
        <v>53</v>
      </c>
      <c r="G107" s="90">
        <f t="shared" si="1"/>
        <v>123.75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112" t="s">
        <v>75</v>
      </c>
      <c r="B108" s="113">
        <v>4000.0</v>
      </c>
      <c r="C108" s="114" t="s">
        <v>410</v>
      </c>
      <c r="D108" s="115">
        <v>46112.0</v>
      </c>
      <c r="E108" s="116" t="s">
        <v>52</v>
      </c>
      <c r="F108" s="112" t="s">
        <v>53</v>
      </c>
      <c r="G108" s="90">
        <f t="shared" si="1"/>
        <v>400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112" t="s">
        <v>184</v>
      </c>
      <c r="B109" s="113">
        <v>3300.0</v>
      </c>
      <c r="C109" s="114" t="s">
        <v>411</v>
      </c>
      <c r="D109" s="115">
        <v>46112.0</v>
      </c>
      <c r="E109" s="116" t="s">
        <v>52</v>
      </c>
      <c r="F109" s="112" t="s">
        <v>53</v>
      </c>
      <c r="G109" s="90">
        <f t="shared" si="1"/>
        <v>330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112" t="s">
        <v>56</v>
      </c>
      <c r="B110" s="113">
        <v>360.0</v>
      </c>
      <c r="C110" s="114" t="s">
        <v>412</v>
      </c>
      <c r="D110" s="115">
        <v>46112.0</v>
      </c>
      <c r="E110" s="116" t="s">
        <v>52</v>
      </c>
      <c r="F110" s="112" t="s">
        <v>53</v>
      </c>
      <c r="G110" s="90">
        <f t="shared" si="1"/>
        <v>36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112" t="s">
        <v>89</v>
      </c>
      <c r="B111" s="113">
        <v>225.0</v>
      </c>
      <c r="C111" s="114" t="s">
        <v>413</v>
      </c>
      <c r="D111" s="115">
        <v>46112.0</v>
      </c>
      <c r="E111" s="116" t="s">
        <v>52</v>
      </c>
      <c r="F111" s="112" t="s">
        <v>53</v>
      </c>
      <c r="G111" s="90">
        <f t="shared" si="1"/>
        <v>22.5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112" t="s">
        <v>54</v>
      </c>
      <c r="B112" s="113">
        <v>406.25</v>
      </c>
      <c r="C112" s="114" t="s">
        <v>414</v>
      </c>
      <c r="D112" s="115">
        <v>46112.0</v>
      </c>
      <c r="E112" s="116" t="s">
        <v>52</v>
      </c>
      <c r="F112" s="112" t="s">
        <v>53</v>
      </c>
      <c r="G112" s="90">
        <f t="shared" si="1"/>
        <v>40.625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112" t="s">
        <v>192</v>
      </c>
      <c r="B113" s="113">
        <v>125.0</v>
      </c>
      <c r="C113" s="114" t="s">
        <v>415</v>
      </c>
      <c r="D113" s="115">
        <v>46112.0</v>
      </c>
      <c r="E113" s="116" t="s">
        <v>52</v>
      </c>
      <c r="F113" s="112" t="s">
        <v>68</v>
      </c>
      <c r="G113" s="90">
        <f t="shared" si="1"/>
        <v>12.5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112" t="s">
        <v>130</v>
      </c>
      <c r="B114" s="113">
        <v>300.0</v>
      </c>
      <c r="C114" s="114" t="s">
        <v>416</v>
      </c>
      <c r="D114" s="115">
        <v>46112.0</v>
      </c>
      <c r="E114" s="116" t="s">
        <v>52</v>
      </c>
      <c r="F114" s="112" t="s">
        <v>53</v>
      </c>
      <c r="G114" s="90">
        <f t="shared" si="1"/>
        <v>30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112" t="s">
        <v>417</v>
      </c>
      <c r="B115" s="113">
        <v>8840.0</v>
      </c>
      <c r="C115" s="114" t="s">
        <v>418</v>
      </c>
      <c r="D115" s="115">
        <v>46112.0</v>
      </c>
      <c r="E115" s="116" t="s">
        <v>52</v>
      </c>
      <c r="F115" s="112" t="s">
        <v>53</v>
      </c>
      <c r="G115" s="90">
        <f t="shared" si="1"/>
        <v>884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112" t="s">
        <v>50</v>
      </c>
      <c r="B116" s="113"/>
      <c r="C116" s="114" t="s">
        <v>419</v>
      </c>
      <c r="D116" s="115">
        <v>46112.0</v>
      </c>
      <c r="E116" s="116" t="s">
        <v>52</v>
      </c>
      <c r="F116" s="112" t="s">
        <v>68</v>
      </c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112" t="s">
        <v>168</v>
      </c>
      <c r="B117" s="113"/>
      <c r="C117" s="114" t="s">
        <v>420</v>
      </c>
      <c r="D117" s="115">
        <v>46112.0</v>
      </c>
      <c r="E117" s="116" t="s">
        <v>52</v>
      </c>
      <c r="F117" s="112" t="s">
        <v>68</v>
      </c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119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119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119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90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ref="G166:G211" si="2">B166*0.05</f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si="2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9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121"/>
      <c r="V970" s="121"/>
      <c r="W970" s="121"/>
      <c r="X970" s="121"/>
      <c r="Y970" s="121"/>
      <c r="Z970" s="121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12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</sheetData>
  <autoFilter ref="$A$7:$G$211">
    <sortState ref="A7:G211">
      <sortCondition ref="D7:D211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SUM(G7:G963)</f>
        <v>23378.417</v>
      </c>
      <c r="C2" s="103">
        <f>SUMIF(F8:F961,"MÉDIA MULTI-ANNONCEURS",G8:G961)</f>
        <v>14238.3</v>
      </c>
      <c r="D2" s="104">
        <f>SUMIF(F8:F961,"PROMOTIONNEL",G8:G961)</f>
        <v>2465.092</v>
      </c>
      <c r="E2" s="105">
        <f>SUMIF(F8:F961,"DIST. PUBLICITAIRE SOLO",G8:G961)</f>
        <v>713.68</v>
      </c>
      <c r="F2" s="106">
        <f>SUMIF(F8:F961,"AGENCE PUB",G8:G961)</f>
        <v>561.375</v>
      </c>
      <c r="G2" s="107">
        <f>SUMIF(F8:F961,"AGENCE WEB",G8:G961)</f>
        <v>1584.22</v>
      </c>
      <c r="H2" s="108">
        <f>SUMIF(F8:F961,"SERVICES IA",G8:G961)</f>
        <v>3815.75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SUM(B8:B963)</f>
        <v>234019.17</v>
      </c>
      <c r="C4" s="103">
        <f>SUMIF(F8:F961,"MÉDIA MULTI-ANNONCEURS",B8:B961)</f>
        <v>142383</v>
      </c>
      <c r="D4" s="104">
        <f>SUMIF(F8:F961,"PROMOTIONNEL",B8:B961)</f>
        <v>24885.92</v>
      </c>
      <c r="E4" s="105">
        <f>SUMIF(F8:F961,"DIST. PUBLICITAIRE SOLO",B8:B961)</f>
        <v>7136.8</v>
      </c>
      <c r="F4" s="106">
        <f>SUMIF(F8:F961,"AGENCE PUB",B8:B961)</f>
        <v>5613.75</v>
      </c>
      <c r="G4" s="107">
        <f>SUMIF(F8:F961,"AGENCE WEB",B8:B961)</f>
        <v>15842.2</v>
      </c>
      <c r="H4" s="108">
        <f>SUMIF(F8:F961,"SERVICES IA",B8:B961)</f>
        <v>38157.5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 t="s">
        <v>82</v>
      </c>
      <c r="B8" s="113">
        <v>820.0</v>
      </c>
      <c r="C8" s="114" t="s">
        <v>421</v>
      </c>
      <c r="D8" s="115">
        <v>46113.0</v>
      </c>
      <c r="E8" s="116" t="s">
        <v>52</v>
      </c>
      <c r="F8" s="112" t="s">
        <v>20</v>
      </c>
      <c r="G8" s="90">
        <f t="shared" ref="G8:G60" si="1">B8*0.1</f>
        <v>82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 t="s">
        <v>422</v>
      </c>
      <c r="B9" s="113">
        <v>3990.0</v>
      </c>
      <c r="C9" s="114" t="s">
        <v>423</v>
      </c>
      <c r="D9" s="115">
        <v>46113.0</v>
      </c>
      <c r="E9" s="116" t="s">
        <v>52</v>
      </c>
      <c r="F9" s="112" t="s">
        <v>41</v>
      </c>
      <c r="G9" s="90">
        <f t="shared" si="1"/>
        <v>399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 t="s">
        <v>339</v>
      </c>
      <c r="B10" s="113">
        <v>36848.0</v>
      </c>
      <c r="C10" s="114" t="s">
        <v>424</v>
      </c>
      <c r="D10" s="115">
        <v>46113.0</v>
      </c>
      <c r="E10" s="116" t="s">
        <v>52</v>
      </c>
      <c r="F10" s="112" t="s">
        <v>41</v>
      </c>
      <c r="G10" s="90">
        <f t="shared" si="1"/>
        <v>3684.8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 t="s">
        <v>69</v>
      </c>
      <c r="B11" s="113">
        <v>893.63</v>
      </c>
      <c r="C11" s="114" t="s">
        <v>425</v>
      </c>
      <c r="D11" s="115">
        <v>46114.0</v>
      </c>
      <c r="E11" s="116" t="s">
        <v>52</v>
      </c>
      <c r="F11" s="112" t="s">
        <v>20</v>
      </c>
      <c r="G11" s="90">
        <f t="shared" si="1"/>
        <v>89.363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 t="s">
        <v>50</v>
      </c>
      <c r="B12" s="113">
        <v>4092.6</v>
      </c>
      <c r="C12" s="114" t="s">
        <v>426</v>
      </c>
      <c r="D12" s="115">
        <v>46114.0</v>
      </c>
      <c r="E12" s="116" t="s">
        <v>52</v>
      </c>
      <c r="F12" s="112" t="s">
        <v>68</v>
      </c>
      <c r="G12" s="90">
        <f t="shared" si="1"/>
        <v>409.26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26" t="s">
        <v>427</v>
      </c>
      <c r="B13" s="127">
        <v>45.39</v>
      </c>
      <c r="C13" s="128" t="s">
        <v>428</v>
      </c>
      <c r="D13" s="129">
        <v>46115.0</v>
      </c>
      <c r="E13" s="116" t="s">
        <v>52</v>
      </c>
      <c r="F13" s="130" t="s">
        <v>20</v>
      </c>
      <c r="G13" s="90">
        <f t="shared" si="1"/>
        <v>4.539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26" t="s">
        <v>429</v>
      </c>
      <c r="B14" s="127">
        <v>84.33</v>
      </c>
      <c r="C14" s="128" t="s">
        <v>430</v>
      </c>
      <c r="D14" s="129">
        <v>46115.0</v>
      </c>
      <c r="E14" s="116" t="s">
        <v>52</v>
      </c>
      <c r="F14" s="130" t="s">
        <v>20</v>
      </c>
      <c r="G14" s="90">
        <f t="shared" si="1"/>
        <v>8.433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26" t="s">
        <v>431</v>
      </c>
      <c r="B15" s="127">
        <v>102.94</v>
      </c>
      <c r="C15" s="128" t="s">
        <v>432</v>
      </c>
      <c r="D15" s="129">
        <v>46115.0</v>
      </c>
      <c r="E15" s="116" t="s">
        <v>52</v>
      </c>
      <c r="F15" s="130" t="s">
        <v>20</v>
      </c>
      <c r="G15" s="90">
        <f t="shared" si="1"/>
        <v>10.294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2" t="s">
        <v>137</v>
      </c>
      <c r="B16" s="113">
        <v>995.0</v>
      </c>
      <c r="C16" s="114" t="s">
        <v>433</v>
      </c>
      <c r="D16" s="115">
        <v>46115.0</v>
      </c>
      <c r="E16" s="116" t="s">
        <v>52</v>
      </c>
      <c r="F16" s="112" t="s">
        <v>41</v>
      </c>
      <c r="G16" s="90">
        <f t="shared" si="1"/>
        <v>99.5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2" t="s">
        <v>396</v>
      </c>
      <c r="B17" s="113">
        <v>995.0</v>
      </c>
      <c r="C17" s="114" t="s">
        <v>434</v>
      </c>
      <c r="D17" s="115">
        <v>46115.0</v>
      </c>
      <c r="E17" s="116" t="s">
        <v>52</v>
      </c>
      <c r="F17" s="112" t="s">
        <v>41</v>
      </c>
      <c r="G17" s="90">
        <f t="shared" si="1"/>
        <v>99.5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2" t="s">
        <v>383</v>
      </c>
      <c r="B18" s="113">
        <v>1600.0</v>
      </c>
      <c r="C18" s="114" t="s">
        <v>435</v>
      </c>
      <c r="D18" s="115">
        <v>46115.0</v>
      </c>
      <c r="E18" s="116" t="s">
        <v>52</v>
      </c>
      <c r="F18" s="112" t="s">
        <v>41</v>
      </c>
      <c r="G18" s="90">
        <f t="shared" si="1"/>
        <v>160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2" t="s">
        <v>82</v>
      </c>
      <c r="B19" s="113">
        <v>1695.0</v>
      </c>
      <c r="C19" s="114" t="s">
        <v>436</v>
      </c>
      <c r="D19" s="115">
        <v>46115.0</v>
      </c>
      <c r="E19" s="116" t="s">
        <v>52</v>
      </c>
      <c r="F19" s="112" t="s">
        <v>41</v>
      </c>
      <c r="G19" s="90">
        <f t="shared" si="1"/>
        <v>169.5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2" t="s">
        <v>437</v>
      </c>
      <c r="B20" s="113">
        <v>1695.0</v>
      </c>
      <c r="C20" s="114" t="s">
        <v>438</v>
      </c>
      <c r="D20" s="115">
        <v>46115.0</v>
      </c>
      <c r="E20" s="116" t="s">
        <v>52</v>
      </c>
      <c r="F20" s="112" t="s">
        <v>41</v>
      </c>
      <c r="G20" s="90">
        <f t="shared" si="1"/>
        <v>169.5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2" t="s">
        <v>135</v>
      </c>
      <c r="B21" s="113">
        <v>1795.0</v>
      </c>
      <c r="C21" s="114" t="s">
        <v>439</v>
      </c>
      <c r="D21" s="115">
        <v>46115.0</v>
      </c>
      <c r="E21" s="116" t="s">
        <v>52</v>
      </c>
      <c r="F21" s="112" t="s">
        <v>41</v>
      </c>
      <c r="G21" s="90">
        <f t="shared" si="1"/>
        <v>179.5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2" t="s">
        <v>64</v>
      </c>
      <c r="B22" s="113">
        <v>2300.0</v>
      </c>
      <c r="C22" s="114" t="s">
        <v>440</v>
      </c>
      <c r="D22" s="115">
        <v>46115.0</v>
      </c>
      <c r="E22" s="116" t="s">
        <v>52</v>
      </c>
      <c r="F22" s="112" t="s">
        <v>41</v>
      </c>
      <c r="G22" s="90">
        <f t="shared" si="1"/>
        <v>230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2" t="s">
        <v>314</v>
      </c>
      <c r="B23" s="113">
        <v>3325.0</v>
      </c>
      <c r="C23" s="114" t="s">
        <v>441</v>
      </c>
      <c r="D23" s="115">
        <v>46115.0</v>
      </c>
      <c r="E23" s="116" t="s">
        <v>52</v>
      </c>
      <c r="F23" s="112" t="s">
        <v>41</v>
      </c>
      <c r="G23" s="90">
        <f t="shared" si="1"/>
        <v>332.5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12" t="s">
        <v>296</v>
      </c>
      <c r="B24" s="113">
        <v>3790.0</v>
      </c>
      <c r="C24" s="114" t="s">
        <v>442</v>
      </c>
      <c r="D24" s="115">
        <v>46115.0</v>
      </c>
      <c r="E24" s="116" t="s">
        <v>52</v>
      </c>
      <c r="F24" s="112" t="s">
        <v>41</v>
      </c>
      <c r="G24" s="90">
        <f t="shared" si="1"/>
        <v>379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12" t="s">
        <v>443</v>
      </c>
      <c r="B25" s="113">
        <v>4650.0</v>
      </c>
      <c r="C25" s="114" t="s">
        <v>444</v>
      </c>
      <c r="D25" s="115">
        <v>46115.0</v>
      </c>
      <c r="E25" s="116" t="s">
        <v>52</v>
      </c>
      <c r="F25" s="112" t="s">
        <v>41</v>
      </c>
      <c r="G25" s="90">
        <f t="shared" si="1"/>
        <v>465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12" t="s">
        <v>399</v>
      </c>
      <c r="B26" s="113">
        <v>4875.0</v>
      </c>
      <c r="C26" s="114" t="s">
        <v>445</v>
      </c>
      <c r="D26" s="115">
        <v>46115.0</v>
      </c>
      <c r="E26" s="116" t="s">
        <v>52</v>
      </c>
      <c r="F26" s="112" t="s">
        <v>41</v>
      </c>
      <c r="G26" s="90">
        <f t="shared" si="1"/>
        <v>487.5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12" t="s">
        <v>163</v>
      </c>
      <c r="B27" s="113">
        <v>6650.0</v>
      </c>
      <c r="C27" s="114" t="s">
        <v>446</v>
      </c>
      <c r="D27" s="115">
        <v>46115.0</v>
      </c>
      <c r="E27" s="116" t="s">
        <v>52</v>
      </c>
      <c r="F27" s="112" t="s">
        <v>41</v>
      </c>
      <c r="G27" s="90">
        <f t="shared" si="1"/>
        <v>665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12" t="s">
        <v>302</v>
      </c>
      <c r="B28" s="113">
        <v>6875.0</v>
      </c>
      <c r="C28" s="114" t="s">
        <v>447</v>
      </c>
      <c r="D28" s="115">
        <v>46115.0</v>
      </c>
      <c r="E28" s="116" t="s">
        <v>52</v>
      </c>
      <c r="F28" s="112" t="s">
        <v>41</v>
      </c>
      <c r="G28" s="90">
        <f t="shared" si="1"/>
        <v>687.5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12" t="s">
        <v>96</v>
      </c>
      <c r="B29" s="113">
        <v>6900.0</v>
      </c>
      <c r="C29" s="114" t="s">
        <v>448</v>
      </c>
      <c r="D29" s="115">
        <v>46115.0</v>
      </c>
      <c r="E29" s="116" t="s">
        <v>52</v>
      </c>
      <c r="F29" s="112" t="s">
        <v>41</v>
      </c>
      <c r="G29" s="90">
        <f t="shared" si="1"/>
        <v>690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12" t="s">
        <v>298</v>
      </c>
      <c r="B30" s="113">
        <v>7750.0</v>
      </c>
      <c r="C30" s="114" t="s">
        <v>449</v>
      </c>
      <c r="D30" s="115">
        <v>46115.0</v>
      </c>
      <c r="E30" s="116" t="s">
        <v>52</v>
      </c>
      <c r="F30" s="112" t="s">
        <v>41</v>
      </c>
      <c r="G30" s="90">
        <f t="shared" si="1"/>
        <v>775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12" t="s">
        <v>307</v>
      </c>
      <c r="B31" s="113">
        <v>9475.0</v>
      </c>
      <c r="C31" s="114" t="s">
        <v>450</v>
      </c>
      <c r="D31" s="115">
        <v>46115.0</v>
      </c>
      <c r="E31" s="116" t="s">
        <v>52</v>
      </c>
      <c r="F31" s="112" t="s">
        <v>41</v>
      </c>
      <c r="G31" s="90">
        <f t="shared" si="1"/>
        <v>947.5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12" t="s">
        <v>300</v>
      </c>
      <c r="B32" s="113">
        <v>11750.0</v>
      </c>
      <c r="C32" s="114" t="s">
        <v>451</v>
      </c>
      <c r="D32" s="115">
        <v>46115.0</v>
      </c>
      <c r="E32" s="116" t="s">
        <v>52</v>
      </c>
      <c r="F32" s="112" t="s">
        <v>41</v>
      </c>
      <c r="G32" s="90">
        <f t="shared" si="1"/>
        <v>1175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31" t="s">
        <v>201</v>
      </c>
      <c r="B33" s="127">
        <v>665.0</v>
      </c>
      <c r="C33" s="132" t="s">
        <v>452</v>
      </c>
      <c r="D33" s="133">
        <v>46118.0</v>
      </c>
      <c r="E33" s="116" t="s">
        <v>52</v>
      </c>
      <c r="F33" s="130" t="s">
        <v>53</v>
      </c>
      <c r="G33" s="90">
        <f t="shared" si="1"/>
        <v>66.5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26" t="s">
        <v>96</v>
      </c>
      <c r="B34" s="127">
        <v>1505.0</v>
      </c>
      <c r="C34" s="128" t="s">
        <v>453</v>
      </c>
      <c r="D34" s="129">
        <v>46118.0</v>
      </c>
      <c r="E34" s="116" t="s">
        <v>52</v>
      </c>
      <c r="F34" s="130" t="s">
        <v>20</v>
      </c>
      <c r="G34" s="90">
        <f t="shared" si="1"/>
        <v>150.5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31" t="s">
        <v>347</v>
      </c>
      <c r="B35" s="127">
        <v>-492.5</v>
      </c>
      <c r="C35" s="132" t="s">
        <v>454</v>
      </c>
      <c r="D35" s="133">
        <v>46119.0</v>
      </c>
      <c r="E35" s="116" t="s">
        <v>52</v>
      </c>
      <c r="F35" s="130" t="s">
        <v>20</v>
      </c>
      <c r="G35" s="90">
        <f t="shared" si="1"/>
        <v>-49.25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31" t="s">
        <v>455</v>
      </c>
      <c r="B36" s="134">
        <v>3.54</v>
      </c>
      <c r="C36" s="132" t="s">
        <v>456</v>
      </c>
      <c r="D36" s="133">
        <v>46119.0</v>
      </c>
      <c r="E36" s="116" t="s">
        <v>52</v>
      </c>
      <c r="F36" s="130" t="s">
        <v>20</v>
      </c>
      <c r="G36" s="90">
        <f t="shared" si="1"/>
        <v>0.354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31" t="s">
        <v>457</v>
      </c>
      <c r="B37" s="134">
        <v>3.99</v>
      </c>
      <c r="C37" s="132" t="s">
        <v>458</v>
      </c>
      <c r="D37" s="133">
        <v>46119.0</v>
      </c>
      <c r="E37" s="116" t="s">
        <v>52</v>
      </c>
      <c r="F37" s="130" t="s">
        <v>20</v>
      </c>
      <c r="G37" s="90">
        <f t="shared" si="1"/>
        <v>0.399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131" t="s">
        <v>459</v>
      </c>
      <c r="B38" s="127">
        <v>29.49</v>
      </c>
      <c r="C38" s="132" t="s">
        <v>460</v>
      </c>
      <c r="D38" s="133">
        <v>46119.0</v>
      </c>
      <c r="E38" s="116" t="s">
        <v>52</v>
      </c>
      <c r="F38" s="130" t="s">
        <v>20</v>
      </c>
      <c r="G38" s="90">
        <f t="shared" si="1"/>
        <v>2.949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131" t="s">
        <v>461</v>
      </c>
      <c r="B39" s="127">
        <v>29.49</v>
      </c>
      <c r="C39" s="132" t="s">
        <v>462</v>
      </c>
      <c r="D39" s="133">
        <v>46119.0</v>
      </c>
      <c r="E39" s="116" t="s">
        <v>463</v>
      </c>
      <c r="F39" s="130" t="s">
        <v>20</v>
      </c>
      <c r="G39" s="90">
        <f t="shared" si="1"/>
        <v>2.949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131" t="s">
        <v>151</v>
      </c>
      <c r="B40" s="127">
        <v>937.5</v>
      </c>
      <c r="C40" s="132" t="s">
        <v>464</v>
      </c>
      <c r="D40" s="133">
        <v>46119.0</v>
      </c>
      <c r="E40" s="116" t="s">
        <v>52</v>
      </c>
      <c r="F40" s="130" t="s">
        <v>53</v>
      </c>
      <c r="G40" s="90">
        <f t="shared" si="1"/>
        <v>93.75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131" t="s">
        <v>339</v>
      </c>
      <c r="B41" s="127">
        <v>3136.0</v>
      </c>
      <c r="C41" s="132" t="s">
        <v>465</v>
      </c>
      <c r="D41" s="133">
        <v>46119.0</v>
      </c>
      <c r="E41" s="116" t="s">
        <v>52</v>
      </c>
      <c r="F41" s="130" t="s">
        <v>21</v>
      </c>
      <c r="G41" s="90">
        <f t="shared" si="1"/>
        <v>313.6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131" t="s">
        <v>466</v>
      </c>
      <c r="B42" s="127">
        <v>29.49</v>
      </c>
      <c r="C42" s="132" t="s">
        <v>467</v>
      </c>
      <c r="D42" s="133">
        <v>46120.0</v>
      </c>
      <c r="E42" s="116" t="s">
        <v>52</v>
      </c>
      <c r="F42" s="130" t="s">
        <v>20</v>
      </c>
      <c r="G42" s="90">
        <f t="shared" si="1"/>
        <v>2.949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131" t="s">
        <v>468</v>
      </c>
      <c r="B43" s="134">
        <v>38.18</v>
      </c>
      <c r="C43" s="132" t="s">
        <v>469</v>
      </c>
      <c r="D43" s="133">
        <v>46120.0</v>
      </c>
      <c r="E43" s="116" t="s">
        <v>52</v>
      </c>
      <c r="F43" s="130" t="s">
        <v>20</v>
      </c>
      <c r="G43" s="90">
        <f t="shared" si="1"/>
        <v>3.818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131" t="s">
        <v>470</v>
      </c>
      <c r="B44" s="127">
        <v>156.25</v>
      </c>
      <c r="C44" s="132" t="s">
        <v>471</v>
      </c>
      <c r="D44" s="133">
        <v>46120.0</v>
      </c>
      <c r="E44" s="116" t="s">
        <v>52</v>
      </c>
      <c r="F44" s="130" t="s">
        <v>20</v>
      </c>
      <c r="G44" s="90">
        <f t="shared" si="1"/>
        <v>15.625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131" t="s">
        <v>472</v>
      </c>
      <c r="B45" s="127">
        <v>169.16</v>
      </c>
      <c r="C45" s="132" t="s">
        <v>473</v>
      </c>
      <c r="D45" s="133">
        <v>46120.0</v>
      </c>
      <c r="E45" s="116" t="s">
        <v>52</v>
      </c>
      <c r="F45" s="130" t="s">
        <v>20</v>
      </c>
      <c r="G45" s="90">
        <f t="shared" si="1"/>
        <v>16.916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131" t="s">
        <v>376</v>
      </c>
      <c r="B46" s="127">
        <v>319.98</v>
      </c>
      <c r="C46" s="132" t="s">
        <v>474</v>
      </c>
      <c r="D46" s="133">
        <v>46120.0</v>
      </c>
      <c r="E46" s="116" t="s">
        <v>52</v>
      </c>
      <c r="F46" s="130" t="s">
        <v>20</v>
      </c>
      <c r="G46" s="90">
        <f t="shared" si="1"/>
        <v>31.998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131" t="s">
        <v>298</v>
      </c>
      <c r="B47" s="127">
        <v>472.89</v>
      </c>
      <c r="C47" s="132" t="s">
        <v>475</v>
      </c>
      <c r="D47" s="133">
        <v>46120.0</v>
      </c>
      <c r="E47" s="116" t="s">
        <v>52</v>
      </c>
      <c r="F47" s="130" t="s">
        <v>20</v>
      </c>
      <c r="G47" s="90">
        <f t="shared" si="1"/>
        <v>47.289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131" t="s">
        <v>179</v>
      </c>
      <c r="B48" s="127">
        <v>4508.63</v>
      </c>
      <c r="C48" s="132" t="s">
        <v>476</v>
      </c>
      <c r="D48" s="133">
        <v>46120.0</v>
      </c>
      <c r="E48" s="116" t="s">
        <v>52</v>
      </c>
      <c r="F48" s="130" t="s">
        <v>20</v>
      </c>
      <c r="G48" s="90">
        <f t="shared" si="1"/>
        <v>450.863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131" t="s">
        <v>347</v>
      </c>
      <c r="B49" s="127">
        <v>-75.0</v>
      </c>
      <c r="C49" s="132" t="s">
        <v>477</v>
      </c>
      <c r="D49" s="133">
        <v>46121.0</v>
      </c>
      <c r="E49" s="116" t="s">
        <v>52</v>
      </c>
      <c r="F49" s="130" t="s">
        <v>20</v>
      </c>
      <c r="G49" s="90">
        <f t="shared" si="1"/>
        <v>-7.5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131" t="s">
        <v>151</v>
      </c>
      <c r="B50" s="127">
        <v>35.0</v>
      </c>
      <c r="C50" s="132" t="s">
        <v>478</v>
      </c>
      <c r="D50" s="133">
        <v>46121.0</v>
      </c>
      <c r="E50" s="116" t="s">
        <v>52</v>
      </c>
      <c r="F50" s="130" t="s">
        <v>20</v>
      </c>
      <c r="G50" s="90">
        <f t="shared" si="1"/>
        <v>3.5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131" t="s">
        <v>271</v>
      </c>
      <c r="B51" s="127">
        <v>70.0</v>
      </c>
      <c r="C51" s="132" t="s">
        <v>479</v>
      </c>
      <c r="D51" s="133">
        <v>46121.0</v>
      </c>
      <c r="E51" s="116" t="s">
        <v>52</v>
      </c>
      <c r="F51" s="130" t="s">
        <v>20</v>
      </c>
      <c r="G51" s="90">
        <f t="shared" si="1"/>
        <v>7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131" t="s">
        <v>480</v>
      </c>
      <c r="B52" s="134">
        <v>83.53</v>
      </c>
      <c r="C52" s="132" t="s">
        <v>481</v>
      </c>
      <c r="D52" s="133">
        <v>46121.0</v>
      </c>
      <c r="E52" s="116" t="s">
        <v>52</v>
      </c>
      <c r="F52" s="130" t="s">
        <v>20</v>
      </c>
      <c r="G52" s="90">
        <f t="shared" si="1"/>
        <v>8.353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131" t="s">
        <v>314</v>
      </c>
      <c r="B53" s="127">
        <v>142.14</v>
      </c>
      <c r="C53" s="132" t="s">
        <v>482</v>
      </c>
      <c r="D53" s="133">
        <v>46121.0</v>
      </c>
      <c r="E53" s="116" t="s">
        <v>52</v>
      </c>
      <c r="F53" s="130" t="s">
        <v>20</v>
      </c>
      <c r="G53" s="90">
        <f t="shared" si="1"/>
        <v>14.214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131" t="s">
        <v>110</v>
      </c>
      <c r="B54" s="127">
        <v>187.5</v>
      </c>
      <c r="C54" s="132" t="s">
        <v>483</v>
      </c>
      <c r="D54" s="133">
        <v>46121.0</v>
      </c>
      <c r="E54" s="116" t="s">
        <v>52</v>
      </c>
      <c r="F54" s="130" t="s">
        <v>53</v>
      </c>
      <c r="G54" s="90">
        <f t="shared" si="1"/>
        <v>18.75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131" t="s">
        <v>484</v>
      </c>
      <c r="B55" s="127">
        <v>220.26</v>
      </c>
      <c r="C55" s="132" t="s">
        <v>485</v>
      </c>
      <c r="D55" s="133">
        <v>46121.0</v>
      </c>
      <c r="E55" s="116" t="s">
        <v>52</v>
      </c>
      <c r="F55" s="130" t="s">
        <v>20</v>
      </c>
      <c r="G55" s="90">
        <f t="shared" si="1"/>
        <v>22.026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31" t="s">
        <v>486</v>
      </c>
      <c r="B56" s="127">
        <v>231.9</v>
      </c>
      <c r="C56" s="132" t="s">
        <v>487</v>
      </c>
      <c r="D56" s="133">
        <v>46121.0</v>
      </c>
      <c r="E56" s="116" t="s">
        <v>52</v>
      </c>
      <c r="F56" s="130" t="s">
        <v>20</v>
      </c>
      <c r="G56" s="90">
        <f t="shared" si="1"/>
        <v>23.19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31" t="s">
        <v>112</v>
      </c>
      <c r="B57" s="127">
        <v>31.25</v>
      </c>
      <c r="C57" s="132" t="s">
        <v>488</v>
      </c>
      <c r="D57" s="133">
        <v>46122.0</v>
      </c>
      <c r="E57" s="116" t="s">
        <v>52</v>
      </c>
      <c r="F57" s="130" t="s">
        <v>53</v>
      </c>
      <c r="G57" s="90">
        <f t="shared" si="1"/>
        <v>3.125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31" t="s">
        <v>459</v>
      </c>
      <c r="B58" s="134">
        <v>119.05</v>
      </c>
      <c r="C58" s="135" t="s">
        <v>489</v>
      </c>
      <c r="D58" s="136">
        <v>46122.0</v>
      </c>
      <c r="E58" s="116" t="s">
        <v>52</v>
      </c>
      <c r="F58" s="130" t="s">
        <v>20</v>
      </c>
      <c r="G58" s="90">
        <f t="shared" si="1"/>
        <v>11.905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37" t="s">
        <v>490</v>
      </c>
      <c r="B59" s="134">
        <v>208.23</v>
      </c>
      <c r="C59" s="135" t="s">
        <v>491</v>
      </c>
      <c r="D59" s="136">
        <v>46122.0</v>
      </c>
      <c r="E59" s="116" t="s">
        <v>52</v>
      </c>
      <c r="F59" s="138" t="s">
        <v>20</v>
      </c>
      <c r="G59" s="90">
        <f t="shared" si="1"/>
        <v>20.823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31" t="s">
        <v>492</v>
      </c>
      <c r="B60" s="127">
        <v>235.0</v>
      </c>
      <c r="C60" s="132" t="s">
        <v>493</v>
      </c>
      <c r="D60" s="133">
        <v>46122.0</v>
      </c>
      <c r="E60" s="116" t="s">
        <v>52</v>
      </c>
      <c r="F60" s="130" t="s">
        <v>20</v>
      </c>
      <c r="G60" s="90">
        <f t="shared" si="1"/>
        <v>23.5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37" t="s">
        <v>494</v>
      </c>
      <c r="B61" s="134">
        <v>235.0</v>
      </c>
      <c r="C61" s="135" t="s">
        <v>495</v>
      </c>
      <c r="D61" s="136">
        <v>46122.0</v>
      </c>
      <c r="E61" s="116" t="s">
        <v>52</v>
      </c>
      <c r="F61" s="138" t="s">
        <v>20</v>
      </c>
      <c r="G61" s="9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31" t="s">
        <v>399</v>
      </c>
      <c r="B62" s="127">
        <v>289.0</v>
      </c>
      <c r="C62" s="132" t="s">
        <v>496</v>
      </c>
      <c r="D62" s="133">
        <v>46122.0</v>
      </c>
      <c r="E62" s="116" t="s">
        <v>52</v>
      </c>
      <c r="F62" s="130" t="s">
        <v>20</v>
      </c>
      <c r="G62" s="90">
        <f t="shared" ref="G62:G167" si="2">B62*0.1</f>
        <v>28.9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31" t="s">
        <v>376</v>
      </c>
      <c r="B63" s="127">
        <v>1836.31</v>
      </c>
      <c r="C63" s="132" t="s">
        <v>497</v>
      </c>
      <c r="D63" s="133">
        <v>46122.0</v>
      </c>
      <c r="E63" s="116" t="s">
        <v>52</v>
      </c>
      <c r="F63" s="130" t="s">
        <v>20</v>
      </c>
      <c r="G63" s="90">
        <f t="shared" si="2"/>
        <v>183.631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31" t="s">
        <v>50</v>
      </c>
      <c r="B64" s="127">
        <v>2648.6</v>
      </c>
      <c r="C64" s="132" t="s">
        <v>498</v>
      </c>
      <c r="D64" s="133">
        <v>46122.0</v>
      </c>
      <c r="E64" s="116" t="s">
        <v>52</v>
      </c>
      <c r="F64" s="130" t="s">
        <v>68</v>
      </c>
      <c r="G64" s="90">
        <f t="shared" si="2"/>
        <v>264.86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31" t="s">
        <v>75</v>
      </c>
      <c r="B65" s="127">
        <v>7518.64</v>
      </c>
      <c r="C65" s="132" t="s">
        <v>499</v>
      </c>
      <c r="D65" s="133">
        <v>46122.0</v>
      </c>
      <c r="E65" s="116" t="s">
        <v>52</v>
      </c>
      <c r="F65" s="130" t="s">
        <v>20</v>
      </c>
      <c r="G65" s="90">
        <f t="shared" si="2"/>
        <v>751.864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37" t="s">
        <v>500</v>
      </c>
      <c r="B66" s="134">
        <v>24.28</v>
      </c>
      <c r="C66" s="135" t="s">
        <v>501</v>
      </c>
      <c r="D66" s="136">
        <v>46124.0</v>
      </c>
      <c r="E66" s="116" t="s">
        <v>52</v>
      </c>
      <c r="F66" s="138" t="s">
        <v>20</v>
      </c>
      <c r="G66" s="90">
        <f t="shared" si="2"/>
        <v>2.428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37" t="s">
        <v>96</v>
      </c>
      <c r="B67" s="134">
        <v>450.4</v>
      </c>
      <c r="C67" s="135" t="s">
        <v>502</v>
      </c>
      <c r="D67" s="136">
        <v>46125.0</v>
      </c>
      <c r="E67" s="116" t="s">
        <v>52</v>
      </c>
      <c r="F67" s="138" t="s">
        <v>21</v>
      </c>
      <c r="G67" s="90">
        <f t="shared" si="2"/>
        <v>45.04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37" t="s">
        <v>139</v>
      </c>
      <c r="B68" s="134">
        <v>450.4</v>
      </c>
      <c r="C68" s="135" t="s">
        <v>503</v>
      </c>
      <c r="D68" s="136">
        <v>46125.0</v>
      </c>
      <c r="E68" s="116" t="s">
        <v>52</v>
      </c>
      <c r="F68" s="138" t="s">
        <v>21</v>
      </c>
      <c r="G68" s="90">
        <f t="shared" si="2"/>
        <v>45.04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37" t="s">
        <v>69</v>
      </c>
      <c r="B69" s="134">
        <v>2500.0</v>
      </c>
      <c r="C69" s="135" t="s">
        <v>504</v>
      </c>
      <c r="D69" s="136">
        <v>46125.0</v>
      </c>
      <c r="E69" s="116" t="s">
        <v>52</v>
      </c>
      <c r="F69" s="138" t="s">
        <v>53</v>
      </c>
      <c r="G69" s="90">
        <f t="shared" si="2"/>
        <v>250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37" t="s">
        <v>459</v>
      </c>
      <c r="B70" s="134">
        <v>-29.48</v>
      </c>
      <c r="C70" s="135" t="s">
        <v>505</v>
      </c>
      <c r="D70" s="136">
        <v>46126.0</v>
      </c>
      <c r="E70" s="116" t="s">
        <v>52</v>
      </c>
      <c r="F70" s="138" t="s">
        <v>20</v>
      </c>
      <c r="G70" s="90">
        <f t="shared" si="2"/>
        <v>-2.948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37" t="s">
        <v>461</v>
      </c>
      <c r="B71" s="134">
        <v>-29.48</v>
      </c>
      <c r="C71" s="135" t="s">
        <v>506</v>
      </c>
      <c r="D71" s="136">
        <v>46126.0</v>
      </c>
      <c r="E71" s="116" t="s">
        <v>52</v>
      </c>
      <c r="F71" s="138" t="s">
        <v>20</v>
      </c>
      <c r="G71" s="90">
        <f t="shared" si="2"/>
        <v>-2.948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37" t="s">
        <v>457</v>
      </c>
      <c r="B72" s="134">
        <v>-29.48</v>
      </c>
      <c r="C72" s="135" t="s">
        <v>507</v>
      </c>
      <c r="D72" s="136">
        <v>46126.0</v>
      </c>
      <c r="E72" s="116" t="s">
        <v>52</v>
      </c>
      <c r="F72" s="138" t="s">
        <v>20</v>
      </c>
      <c r="G72" s="90">
        <f t="shared" si="2"/>
        <v>-2.948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37" t="s">
        <v>508</v>
      </c>
      <c r="B73" s="134">
        <v>29.49</v>
      </c>
      <c r="C73" s="135" t="s">
        <v>509</v>
      </c>
      <c r="D73" s="136">
        <v>46126.0</v>
      </c>
      <c r="E73" s="116" t="s">
        <v>52</v>
      </c>
      <c r="F73" s="138" t="s">
        <v>20</v>
      </c>
      <c r="G73" s="90">
        <f t="shared" si="2"/>
        <v>2.949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37" t="s">
        <v>510</v>
      </c>
      <c r="B74" s="134">
        <v>29.49</v>
      </c>
      <c r="C74" s="135" t="s">
        <v>511</v>
      </c>
      <c r="D74" s="136">
        <v>46126.0</v>
      </c>
      <c r="E74" s="116" t="s">
        <v>52</v>
      </c>
      <c r="F74" s="138" t="s">
        <v>20</v>
      </c>
      <c r="G74" s="90">
        <f t="shared" si="2"/>
        <v>2.949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37" t="s">
        <v>96</v>
      </c>
      <c r="B75" s="134">
        <v>196.22</v>
      </c>
      <c r="C75" s="135" t="s">
        <v>512</v>
      </c>
      <c r="D75" s="136">
        <v>46126.0</v>
      </c>
      <c r="E75" s="116" t="s">
        <v>52</v>
      </c>
      <c r="F75" s="138" t="s">
        <v>20</v>
      </c>
      <c r="G75" s="90">
        <f t="shared" si="2"/>
        <v>19.622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37" t="s">
        <v>472</v>
      </c>
      <c r="B76" s="134">
        <v>-169.16</v>
      </c>
      <c r="C76" s="135" t="s">
        <v>513</v>
      </c>
      <c r="D76" s="136">
        <v>46127.0</v>
      </c>
      <c r="E76" s="116" t="s">
        <v>52</v>
      </c>
      <c r="F76" s="138" t="s">
        <v>20</v>
      </c>
      <c r="G76" s="90">
        <f t="shared" si="2"/>
        <v>-16.916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37" t="s">
        <v>468</v>
      </c>
      <c r="B77" s="134">
        <v>-59.44</v>
      </c>
      <c r="C77" s="135" t="s">
        <v>514</v>
      </c>
      <c r="D77" s="136">
        <v>46127.0</v>
      </c>
      <c r="E77" s="116" t="s">
        <v>52</v>
      </c>
      <c r="F77" s="138" t="s">
        <v>20</v>
      </c>
      <c r="G77" s="90">
        <f t="shared" si="2"/>
        <v>-5.944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37" t="s">
        <v>466</v>
      </c>
      <c r="B78" s="134">
        <v>-29.48</v>
      </c>
      <c r="C78" s="135" t="s">
        <v>515</v>
      </c>
      <c r="D78" s="136">
        <v>46127.0</v>
      </c>
      <c r="E78" s="116" t="s">
        <v>52</v>
      </c>
      <c r="F78" s="138" t="s">
        <v>20</v>
      </c>
      <c r="G78" s="90">
        <f t="shared" si="2"/>
        <v>-2.948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37" t="s">
        <v>486</v>
      </c>
      <c r="B79" s="134">
        <v>-231.9</v>
      </c>
      <c r="C79" s="135" t="s">
        <v>516</v>
      </c>
      <c r="D79" s="136">
        <v>46128.0</v>
      </c>
      <c r="E79" s="116" t="s">
        <v>52</v>
      </c>
      <c r="F79" s="138" t="s">
        <v>20</v>
      </c>
      <c r="G79" s="90">
        <f t="shared" si="2"/>
        <v>-23.19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37" t="s">
        <v>484</v>
      </c>
      <c r="B80" s="134">
        <v>-220.26</v>
      </c>
      <c r="C80" s="135" t="s">
        <v>517</v>
      </c>
      <c r="D80" s="136">
        <v>46128.0</v>
      </c>
      <c r="E80" s="116" t="s">
        <v>52</v>
      </c>
      <c r="F80" s="138" t="s">
        <v>20</v>
      </c>
      <c r="G80" s="90">
        <f t="shared" si="2"/>
        <v>-22.026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37" t="s">
        <v>480</v>
      </c>
      <c r="B81" s="134">
        <v>-94.49</v>
      </c>
      <c r="C81" s="135" t="s">
        <v>518</v>
      </c>
      <c r="D81" s="136">
        <v>46128.0</v>
      </c>
      <c r="E81" s="116" t="s">
        <v>52</v>
      </c>
      <c r="F81" s="138" t="s">
        <v>20</v>
      </c>
      <c r="G81" s="90">
        <f t="shared" si="2"/>
        <v>-9.449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37" t="s">
        <v>519</v>
      </c>
      <c r="B82" s="134">
        <v>1000.0</v>
      </c>
      <c r="C82" s="135" t="s">
        <v>520</v>
      </c>
      <c r="D82" s="136">
        <v>46128.0</v>
      </c>
      <c r="E82" s="116" t="s">
        <v>52</v>
      </c>
      <c r="F82" s="138" t="s">
        <v>53</v>
      </c>
      <c r="G82" s="90">
        <f t="shared" si="2"/>
        <v>100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37" t="s">
        <v>521</v>
      </c>
      <c r="B83" s="134">
        <v>1300.0</v>
      </c>
      <c r="C83" s="135" t="s">
        <v>522</v>
      </c>
      <c r="D83" s="136">
        <v>46128.0</v>
      </c>
      <c r="E83" s="116" t="s">
        <v>52</v>
      </c>
      <c r="F83" s="138" t="s">
        <v>20</v>
      </c>
      <c r="G83" s="90">
        <f t="shared" si="2"/>
        <v>130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37" t="s">
        <v>50</v>
      </c>
      <c r="B84" s="134">
        <v>5873.85</v>
      </c>
      <c r="C84" s="135" t="s">
        <v>523</v>
      </c>
      <c r="D84" s="136">
        <v>46128.0</v>
      </c>
      <c r="E84" s="116" t="s">
        <v>52</v>
      </c>
      <c r="F84" s="138" t="s">
        <v>68</v>
      </c>
      <c r="G84" s="90">
        <f t="shared" si="2"/>
        <v>587.385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137" t="s">
        <v>490</v>
      </c>
      <c r="B85" s="134">
        <v>-208.23</v>
      </c>
      <c r="C85" s="135" t="s">
        <v>524</v>
      </c>
      <c r="D85" s="136">
        <v>46129.0</v>
      </c>
      <c r="E85" s="116" t="s">
        <v>52</v>
      </c>
      <c r="F85" s="138" t="s">
        <v>20</v>
      </c>
      <c r="G85" s="90">
        <f t="shared" si="2"/>
        <v>-20.823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37" t="s">
        <v>459</v>
      </c>
      <c r="B86" s="134">
        <v>-119.05</v>
      </c>
      <c r="C86" s="135" t="s">
        <v>525</v>
      </c>
      <c r="D86" s="136">
        <v>46129.0</v>
      </c>
      <c r="E86" s="116" t="s">
        <v>52</v>
      </c>
      <c r="F86" s="138" t="s">
        <v>20</v>
      </c>
      <c r="G86" s="90">
        <f t="shared" si="2"/>
        <v>-11.905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37" t="s">
        <v>296</v>
      </c>
      <c r="B87" s="134">
        <v>533.61</v>
      </c>
      <c r="C87" s="135" t="s">
        <v>526</v>
      </c>
      <c r="D87" s="136">
        <v>46129.0</v>
      </c>
      <c r="E87" s="116" t="s">
        <v>52</v>
      </c>
      <c r="F87" s="138" t="s">
        <v>20</v>
      </c>
      <c r="G87" s="90">
        <f t="shared" si="2"/>
        <v>53.361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37" t="s">
        <v>305</v>
      </c>
      <c r="B88" s="134">
        <v>1950.0</v>
      </c>
      <c r="C88" s="135" t="s">
        <v>527</v>
      </c>
      <c r="D88" s="136">
        <v>46129.0</v>
      </c>
      <c r="E88" s="116" t="s">
        <v>52</v>
      </c>
      <c r="F88" s="138" t="s">
        <v>41</v>
      </c>
      <c r="G88" s="90">
        <f t="shared" si="2"/>
        <v>195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37" t="s">
        <v>142</v>
      </c>
      <c r="B89" s="134">
        <v>2100.0</v>
      </c>
      <c r="C89" s="135" t="s">
        <v>528</v>
      </c>
      <c r="D89" s="136">
        <v>46129.0</v>
      </c>
      <c r="E89" s="116" t="s">
        <v>52</v>
      </c>
      <c r="F89" s="138" t="s">
        <v>41</v>
      </c>
      <c r="G89" s="90">
        <f t="shared" si="2"/>
        <v>210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37" t="s">
        <v>139</v>
      </c>
      <c r="B90" s="134">
        <v>2940.0</v>
      </c>
      <c r="C90" s="135" t="s">
        <v>529</v>
      </c>
      <c r="D90" s="136">
        <v>46129.0</v>
      </c>
      <c r="E90" s="116" t="s">
        <v>52</v>
      </c>
      <c r="F90" s="138" t="s">
        <v>41</v>
      </c>
      <c r="G90" s="90">
        <f t="shared" si="2"/>
        <v>294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37" t="s">
        <v>256</v>
      </c>
      <c r="B91" s="134">
        <v>2985.0</v>
      </c>
      <c r="C91" s="135" t="s">
        <v>530</v>
      </c>
      <c r="D91" s="136">
        <v>46129.0</v>
      </c>
      <c r="E91" s="116" t="s">
        <v>52</v>
      </c>
      <c r="F91" s="138" t="s">
        <v>41</v>
      </c>
      <c r="G91" s="90">
        <f t="shared" si="2"/>
        <v>298.5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137" t="s">
        <v>314</v>
      </c>
      <c r="B92" s="134">
        <v>5500.0</v>
      </c>
      <c r="C92" s="135" t="s">
        <v>531</v>
      </c>
      <c r="D92" s="136">
        <v>46129.0</v>
      </c>
      <c r="E92" s="116" t="s">
        <v>52</v>
      </c>
      <c r="F92" s="138" t="s">
        <v>41</v>
      </c>
      <c r="G92" s="90">
        <f t="shared" si="2"/>
        <v>550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137" t="s">
        <v>179</v>
      </c>
      <c r="B93" s="134">
        <v>8000.0</v>
      </c>
      <c r="C93" s="135" t="s">
        <v>532</v>
      </c>
      <c r="D93" s="136">
        <v>46129.0</v>
      </c>
      <c r="E93" s="116" t="s">
        <v>52</v>
      </c>
      <c r="F93" s="138" t="s">
        <v>24</v>
      </c>
      <c r="G93" s="90">
        <f t="shared" si="2"/>
        <v>800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137" t="s">
        <v>396</v>
      </c>
      <c r="B94" s="134">
        <v>8955.0</v>
      </c>
      <c r="C94" s="135" t="s">
        <v>533</v>
      </c>
      <c r="D94" s="136">
        <v>46129.0</v>
      </c>
      <c r="E94" s="116" t="s">
        <v>52</v>
      </c>
      <c r="F94" s="138" t="s">
        <v>41</v>
      </c>
      <c r="G94" s="90">
        <f t="shared" si="2"/>
        <v>895.5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137" t="s">
        <v>75</v>
      </c>
      <c r="B95" s="134">
        <v>22000.0</v>
      </c>
      <c r="C95" s="135" t="s">
        <v>534</v>
      </c>
      <c r="D95" s="136">
        <v>46129.0</v>
      </c>
      <c r="E95" s="116" t="s">
        <v>52</v>
      </c>
      <c r="F95" s="138" t="s">
        <v>24</v>
      </c>
      <c r="G95" s="90">
        <f t="shared" si="2"/>
        <v>2200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137" t="s">
        <v>60</v>
      </c>
      <c r="B96" s="134">
        <v>125.0</v>
      </c>
      <c r="C96" s="135" t="s">
        <v>535</v>
      </c>
      <c r="D96" s="136">
        <v>46136.0</v>
      </c>
      <c r="E96" s="116" t="s">
        <v>52</v>
      </c>
      <c r="F96" s="138" t="s">
        <v>53</v>
      </c>
      <c r="G96" s="90">
        <f t="shared" si="2"/>
        <v>12.5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137" t="s">
        <v>50</v>
      </c>
      <c r="B97" s="134">
        <v>3227.15</v>
      </c>
      <c r="C97" s="135" t="s">
        <v>536</v>
      </c>
      <c r="D97" s="136">
        <v>46135.0</v>
      </c>
      <c r="E97" s="116" t="s">
        <v>52</v>
      </c>
      <c r="F97" s="138" t="s">
        <v>68</v>
      </c>
      <c r="G97" s="90">
        <f t="shared" si="2"/>
        <v>322.715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137" t="s">
        <v>69</v>
      </c>
      <c r="B98" s="134">
        <v>2160.0</v>
      </c>
      <c r="C98" s="135" t="s">
        <v>537</v>
      </c>
      <c r="D98" s="136">
        <v>46134.0</v>
      </c>
      <c r="E98" s="116" t="s">
        <v>52</v>
      </c>
      <c r="F98" s="138" t="s">
        <v>24</v>
      </c>
      <c r="G98" s="90">
        <f t="shared" si="2"/>
        <v>216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37" t="s">
        <v>376</v>
      </c>
      <c r="B99" s="134">
        <v>366.16</v>
      </c>
      <c r="C99" s="135" t="s">
        <v>538</v>
      </c>
      <c r="D99" s="136">
        <v>46134.0</v>
      </c>
      <c r="E99" s="116" t="s">
        <v>52</v>
      </c>
      <c r="F99" s="138" t="s">
        <v>20</v>
      </c>
      <c r="G99" s="90">
        <f t="shared" si="2"/>
        <v>36.616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37" t="s">
        <v>73</v>
      </c>
      <c r="B100" s="134">
        <v>577.46</v>
      </c>
      <c r="C100" s="135" t="s">
        <v>539</v>
      </c>
      <c r="D100" s="136">
        <v>46134.0</v>
      </c>
      <c r="E100" s="116" t="s">
        <v>52</v>
      </c>
      <c r="F100" s="138" t="s">
        <v>20</v>
      </c>
      <c r="G100" s="90">
        <f t="shared" si="2"/>
        <v>57.746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37" t="s">
        <v>540</v>
      </c>
      <c r="B101" s="134">
        <v>3100.0</v>
      </c>
      <c r="C101" s="135" t="s">
        <v>541</v>
      </c>
      <c r="D101" s="136">
        <v>46134.0</v>
      </c>
      <c r="E101" s="116" t="s">
        <v>52</v>
      </c>
      <c r="F101" s="138" t="s">
        <v>21</v>
      </c>
      <c r="G101" s="90">
        <f t="shared" si="2"/>
        <v>310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137" t="s">
        <v>542</v>
      </c>
      <c r="B102" s="134">
        <v>2400.39</v>
      </c>
      <c r="C102" s="135" t="s">
        <v>543</v>
      </c>
      <c r="D102" s="136">
        <v>46132.0</v>
      </c>
      <c r="E102" s="116" t="s">
        <v>52</v>
      </c>
      <c r="F102" s="138" t="s">
        <v>20</v>
      </c>
      <c r="G102" s="90">
        <f t="shared" si="2"/>
        <v>240.039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137" t="s">
        <v>82</v>
      </c>
      <c r="B103" s="134">
        <v>291.23</v>
      </c>
      <c r="C103" s="135" t="s">
        <v>544</v>
      </c>
      <c r="D103" s="136">
        <v>46132.0</v>
      </c>
      <c r="E103" s="116" t="s">
        <v>52</v>
      </c>
      <c r="F103" s="138" t="s">
        <v>20</v>
      </c>
      <c r="G103" s="90">
        <f t="shared" si="2"/>
        <v>29.123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137" t="s">
        <v>545</v>
      </c>
      <c r="B104" s="134">
        <v>104.14</v>
      </c>
      <c r="C104" s="135" t="s">
        <v>546</v>
      </c>
      <c r="D104" s="136">
        <v>46132.0</v>
      </c>
      <c r="E104" s="116" t="s">
        <v>52</v>
      </c>
      <c r="F104" s="138" t="s">
        <v>20</v>
      </c>
      <c r="G104" s="90">
        <f t="shared" si="2"/>
        <v>10.414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137" t="s">
        <v>285</v>
      </c>
      <c r="B105" s="134">
        <v>5997.5</v>
      </c>
      <c r="C105" s="135" t="s">
        <v>547</v>
      </c>
      <c r="D105" s="136">
        <v>46132.0</v>
      </c>
      <c r="E105" s="116" t="s">
        <v>52</v>
      </c>
      <c r="F105" s="138" t="s">
        <v>24</v>
      </c>
      <c r="G105" s="90">
        <f t="shared" si="2"/>
        <v>599.75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137" t="s">
        <v>548</v>
      </c>
      <c r="B106" s="134">
        <v>105.0</v>
      </c>
      <c r="C106" s="135" t="s">
        <v>549</v>
      </c>
      <c r="D106" s="136">
        <v>46132.0</v>
      </c>
      <c r="E106" s="116" t="s">
        <v>52</v>
      </c>
      <c r="F106" s="138" t="s">
        <v>53</v>
      </c>
      <c r="G106" s="90">
        <f t="shared" si="2"/>
        <v>10.5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137" t="s">
        <v>86</v>
      </c>
      <c r="B107" s="134">
        <v>62.5</v>
      </c>
      <c r="C107" s="135" t="s">
        <v>550</v>
      </c>
      <c r="D107" s="136">
        <v>46132.0</v>
      </c>
      <c r="E107" s="116" t="s">
        <v>52</v>
      </c>
      <c r="F107" s="138" t="s">
        <v>53</v>
      </c>
      <c r="G107" s="90">
        <f t="shared" si="2"/>
        <v>6.25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137" t="s">
        <v>490</v>
      </c>
      <c r="B108" s="134">
        <v>65.0</v>
      </c>
      <c r="C108" s="135" t="s">
        <v>551</v>
      </c>
      <c r="D108" s="136">
        <v>46132.0</v>
      </c>
      <c r="E108" s="116" t="s">
        <v>52</v>
      </c>
      <c r="F108" s="138" t="s">
        <v>20</v>
      </c>
      <c r="G108" s="90">
        <f t="shared" si="2"/>
        <v>6.5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137" t="s">
        <v>552</v>
      </c>
      <c r="B109" s="134">
        <v>107.05</v>
      </c>
      <c r="C109" s="135" t="s">
        <v>553</v>
      </c>
      <c r="D109" s="136">
        <v>46132.0</v>
      </c>
      <c r="E109" s="116" t="s">
        <v>52</v>
      </c>
      <c r="F109" s="138" t="s">
        <v>20</v>
      </c>
      <c r="G109" s="90">
        <f t="shared" si="2"/>
        <v>10.705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137" t="s">
        <v>554</v>
      </c>
      <c r="B110" s="134">
        <v>29.95</v>
      </c>
      <c r="C110" s="135" t="s">
        <v>555</v>
      </c>
      <c r="D110" s="136">
        <v>46131.0</v>
      </c>
      <c r="E110" s="116" t="s">
        <v>52</v>
      </c>
      <c r="F110" s="138" t="s">
        <v>20</v>
      </c>
      <c r="G110" s="90">
        <f t="shared" si="2"/>
        <v>2.995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137" t="s">
        <v>554</v>
      </c>
      <c r="B111" s="134">
        <v>29.95</v>
      </c>
      <c r="C111" s="135" t="s">
        <v>556</v>
      </c>
      <c r="D111" s="136">
        <v>46131.0</v>
      </c>
      <c r="E111" s="116" t="s">
        <v>52</v>
      </c>
      <c r="F111" s="138" t="s">
        <v>20</v>
      </c>
      <c r="G111" s="90">
        <f t="shared" si="2"/>
        <v>2.995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137" t="s">
        <v>554</v>
      </c>
      <c r="B112" s="134">
        <v>29.95</v>
      </c>
      <c r="C112" s="135" t="s">
        <v>557</v>
      </c>
      <c r="D112" s="136">
        <v>46131.0</v>
      </c>
      <c r="E112" s="116" t="s">
        <v>52</v>
      </c>
      <c r="F112" s="138" t="s">
        <v>20</v>
      </c>
      <c r="G112" s="90">
        <f t="shared" si="2"/>
        <v>2.995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137" t="s">
        <v>558</v>
      </c>
      <c r="B113" s="134">
        <v>29.49</v>
      </c>
      <c r="C113" s="135" t="s">
        <v>559</v>
      </c>
      <c r="D113" s="136">
        <v>46132.0</v>
      </c>
      <c r="E113" s="116" t="s">
        <v>52</v>
      </c>
      <c r="F113" s="138" t="s">
        <v>20</v>
      </c>
      <c r="G113" s="90">
        <f t="shared" si="2"/>
        <v>2.949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137" t="s">
        <v>427</v>
      </c>
      <c r="B114" s="134">
        <v>29.49</v>
      </c>
      <c r="C114" s="135" t="s">
        <v>560</v>
      </c>
      <c r="D114" s="136">
        <v>46132.0</v>
      </c>
      <c r="E114" s="116" t="s">
        <v>52</v>
      </c>
      <c r="F114" s="138" t="s">
        <v>20</v>
      </c>
      <c r="G114" s="90">
        <f t="shared" si="2"/>
        <v>2.949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137" t="s">
        <v>561</v>
      </c>
      <c r="B115" s="134">
        <v>94.49</v>
      </c>
      <c r="C115" s="135" t="s">
        <v>562</v>
      </c>
      <c r="D115" s="136">
        <v>46132.0</v>
      </c>
      <c r="E115" s="116" t="s">
        <v>52</v>
      </c>
      <c r="F115" s="138" t="s">
        <v>20</v>
      </c>
      <c r="G115" s="90">
        <f t="shared" si="2"/>
        <v>9.449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137" t="s">
        <v>563</v>
      </c>
      <c r="B116" s="134">
        <v>29.49</v>
      </c>
      <c r="C116" s="135" t="s">
        <v>564</v>
      </c>
      <c r="D116" s="136">
        <v>46132.0</v>
      </c>
      <c r="E116" s="116" t="s">
        <v>52</v>
      </c>
      <c r="F116" s="138" t="s">
        <v>20</v>
      </c>
      <c r="G116" s="90">
        <f t="shared" si="2"/>
        <v>2.949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137" t="s">
        <v>563</v>
      </c>
      <c r="B117" s="134">
        <v>74.88</v>
      </c>
      <c r="C117" s="135" t="s">
        <v>565</v>
      </c>
      <c r="D117" s="136">
        <v>46132.0</v>
      </c>
      <c r="E117" s="116" t="s">
        <v>52</v>
      </c>
      <c r="F117" s="138" t="s">
        <v>20</v>
      </c>
      <c r="G117" s="90">
        <f t="shared" si="2"/>
        <v>7.488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137" t="s">
        <v>563</v>
      </c>
      <c r="B118" s="134">
        <v>-74.88</v>
      </c>
      <c r="C118" s="135" t="s">
        <v>566</v>
      </c>
      <c r="D118" s="136">
        <v>46132.0</v>
      </c>
      <c r="E118" s="116" t="s">
        <v>52</v>
      </c>
      <c r="F118" s="138" t="s">
        <v>20</v>
      </c>
      <c r="G118" s="90">
        <f t="shared" si="2"/>
        <v>-7.488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137" t="s">
        <v>554</v>
      </c>
      <c r="B119" s="134">
        <v>-29.95</v>
      </c>
      <c r="C119" s="135" t="s">
        <v>567</v>
      </c>
      <c r="D119" s="136">
        <v>46131.0</v>
      </c>
      <c r="E119" s="116" t="s">
        <v>52</v>
      </c>
      <c r="F119" s="138" t="s">
        <v>20</v>
      </c>
      <c r="G119" s="90">
        <f t="shared" si="2"/>
        <v>-2.995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137" t="s">
        <v>554</v>
      </c>
      <c r="B120" s="134">
        <v>-29.95</v>
      </c>
      <c r="C120" s="135" t="s">
        <v>568</v>
      </c>
      <c r="D120" s="136">
        <v>46131.0</v>
      </c>
      <c r="E120" s="116" t="s">
        <v>52</v>
      </c>
      <c r="F120" s="138" t="s">
        <v>20</v>
      </c>
      <c r="G120" s="90">
        <f t="shared" si="2"/>
        <v>-2.995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137"/>
      <c r="B121" s="134"/>
      <c r="C121" s="135"/>
      <c r="D121" s="136"/>
      <c r="E121" s="116"/>
      <c r="F121" s="138"/>
      <c r="G121" s="90">
        <f t="shared" si="2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2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2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2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2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2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2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2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2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2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2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2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2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2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2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2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2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2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2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2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2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2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2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2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120"/>
      <c r="F145" s="4"/>
      <c r="G145" s="90">
        <f t="shared" si="2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90"/>
      <c r="G146" s="90">
        <f t="shared" si="2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2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2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2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2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2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2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2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2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2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2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2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2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2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2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2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2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2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2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2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2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si="2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ref="G168:G213" si="3">B168*0.05</f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3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3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3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3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3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3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3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3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3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3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3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3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3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3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3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3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3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3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3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3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3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3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3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3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3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3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3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3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3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3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3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3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3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3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3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3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3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3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3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3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3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3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3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3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90">
        <f t="shared" si="3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9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90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  <row r="1006">
      <c r="A1006" s="4"/>
      <c r="B1006" s="4"/>
      <c r="C1006" s="4"/>
      <c r="D1006" s="4"/>
      <c r="E1006" s="4"/>
      <c r="F1006" s="4"/>
      <c r="G1006" s="4"/>
      <c r="H1006" s="12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121"/>
      <c r="V1006" s="121"/>
      <c r="W1006" s="121"/>
      <c r="X1006" s="121"/>
      <c r="Y1006" s="121"/>
      <c r="Z1006" s="121"/>
    </row>
  </sheetData>
  <autoFilter ref="$A$7:$G$213">
    <sortState ref="A7:G213">
      <sortCondition ref="D7:D213"/>
      <sortCondition ref="B7:B213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autoFilter ref="$A$7:$G$212">
    <sortState ref="A7:G212">
      <sortCondition ref="D7:D212"/>
    </sortState>
  </autoFilter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9.14"/>
  </cols>
  <sheetData>
    <row r="1">
      <c r="A1" s="25"/>
      <c r="B1" s="95" t="s">
        <v>40</v>
      </c>
      <c r="C1" s="96" t="s">
        <v>41</v>
      </c>
      <c r="D1" s="97" t="s">
        <v>20</v>
      </c>
      <c r="E1" s="98" t="s">
        <v>21</v>
      </c>
      <c r="F1" s="99" t="s">
        <v>22</v>
      </c>
      <c r="G1" s="100" t="s">
        <v>23</v>
      </c>
      <c r="H1" s="101" t="s">
        <v>24</v>
      </c>
      <c r="I1" s="9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29</v>
      </c>
      <c r="B2" s="102">
        <f>SUM(G7:G962)</f>
        <v>0</v>
      </c>
      <c r="C2" s="103">
        <f>SUMIF(F8:F960,"MÉDIA MULTI-ANNONCEURS",G8:G960)</f>
        <v>0</v>
      </c>
      <c r="D2" s="104">
        <f>SUMIF(F8:F960,"PROMOTIONNEL",G8:G960)</f>
        <v>0</v>
      </c>
      <c r="E2" s="105">
        <f>SUMIF(F8:F960,"DIST. PUBLICITAIRE SOLO",G8:G960)</f>
        <v>0</v>
      </c>
      <c r="F2" s="106">
        <f>SUMIF(F8:F960,"AGENCE PUB",G8:G960)</f>
        <v>0</v>
      </c>
      <c r="G2" s="107">
        <f>SUMIF(F8:F960,"AGENCE WEB",G8:G960)</f>
        <v>0</v>
      </c>
      <c r="H2" s="108">
        <f>SUMIF(F8:F960,"SERVICES IA",G8:G960)</f>
        <v>0</v>
      </c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I3" s="9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42</v>
      </c>
      <c r="B4" s="102">
        <f>SUM(B8:B962)</f>
        <v>0</v>
      </c>
      <c r="C4" s="103">
        <f>SUMIF(F8:F960,"MÉDIA MULTI-ANNONCEURS",B8:B960)</f>
        <v>0</v>
      </c>
      <c r="D4" s="104">
        <f>SUMIF(F8:F960,"PROMOTIONNEL",B8:B960)</f>
        <v>0</v>
      </c>
      <c r="E4" s="105">
        <f>SUMIF(F8:F960,"DIST. PUBLICITAIRE SOLO",B8:B960)</f>
        <v>0</v>
      </c>
      <c r="F4" s="106">
        <f>SUMIF(F8:F960,"AGENCE PUB",B8:B960)</f>
        <v>0</v>
      </c>
      <c r="G4" s="107">
        <f>SUMIF(F8:F960,"AGENCE WEB",B8:B960)</f>
        <v>0</v>
      </c>
      <c r="H4" s="108">
        <f>SUMIF(F8:F960,"SERVICES IA",B8:B960)</f>
        <v>0</v>
      </c>
      <c r="I4" s="9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I5" s="9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0"/>
      <c r="C6" s="90"/>
      <c r="D6" s="90"/>
      <c r="E6" s="90"/>
      <c r="F6" s="90"/>
      <c r="G6" s="90"/>
      <c r="H6" s="4"/>
      <c r="I6" s="90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43</v>
      </c>
      <c r="B7" s="109" t="s">
        <v>44</v>
      </c>
      <c r="C7" s="110" t="s">
        <v>45</v>
      </c>
      <c r="D7" s="110" t="s">
        <v>46</v>
      </c>
      <c r="E7" s="109" t="s">
        <v>47</v>
      </c>
      <c r="F7" s="111" t="s">
        <v>48</v>
      </c>
      <c r="G7" s="111" t="s">
        <v>49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2"/>
      <c r="B8" s="123"/>
      <c r="C8" s="114"/>
      <c r="D8" s="115"/>
      <c r="E8" s="116"/>
      <c r="F8" s="112"/>
      <c r="G8" s="90">
        <f t="shared" ref="G8:G166" si="1">B8*0.1</f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2"/>
      <c r="B9" s="123"/>
      <c r="C9" s="112"/>
      <c r="D9" s="139"/>
      <c r="E9" s="116"/>
      <c r="F9" s="116"/>
      <c r="G9" s="90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2"/>
      <c r="B10" s="123"/>
      <c r="C10" s="112"/>
      <c r="D10" s="139"/>
      <c r="E10" s="116"/>
      <c r="F10" s="112"/>
      <c r="G10" s="90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2"/>
      <c r="B11" s="123"/>
      <c r="C11" s="112"/>
      <c r="D11" s="139"/>
      <c r="E11" s="116"/>
      <c r="F11" s="112"/>
      <c r="G11" s="90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2"/>
      <c r="B12" s="123"/>
      <c r="C12" s="112"/>
      <c r="D12" s="139"/>
      <c r="E12" s="116"/>
      <c r="F12" s="112"/>
      <c r="G12" s="90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2"/>
      <c r="B13" s="123"/>
      <c r="C13" s="112"/>
      <c r="D13" s="139"/>
      <c r="E13" s="116"/>
      <c r="F13" s="112"/>
      <c r="G13" s="90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2"/>
      <c r="B14" s="123"/>
      <c r="C14" s="112"/>
      <c r="D14" s="139"/>
      <c r="E14" s="116"/>
      <c r="F14" s="112"/>
      <c r="G14" s="90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2"/>
      <c r="B15" s="123"/>
      <c r="C15" s="112"/>
      <c r="D15" s="139"/>
      <c r="E15" s="116"/>
      <c r="F15" s="112"/>
      <c r="G15" s="90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40"/>
      <c r="B16" s="123"/>
      <c r="C16" s="141"/>
      <c r="D16" s="142"/>
      <c r="E16" s="118"/>
      <c r="F16" s="11"/>
      <c r="G16" s="90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40"/>
      <c r="B17" s="123"/>
      <c r="C17" s="141"/>
      <c r="D17" s="142"/>
      <c r="E17" s="118"/>
      <c r="F17" s="11"/>
      <c r="G17" s="90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40"/>
      <c r="B18" s="123"/>
      <c r="C18" s="141"/>
      <c r="D18" s="142"/>
      <c r="E18" s="118"/>
      <c r="F18" s="11"/>
      <c r="G18" s="90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43"/>
      <c r="B19" s="89"/>
      <c r="C19" s="144"/>
      <c r="D19" s="145"/>
      <c r="E19" s="120"/>
      <c r="F19" s="4"/>
      <c r="G19" s="90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46"/>
      <c r="B20" s="89"/>
      <c r="C20" s="144"/>
      <c r="D20" s="145"/>
      <c r="E20" s="120"/>
      <c r="F20" s="4"/>
      <c r="G20" s="90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46"/>
      <c r="B21" s="89"/>
      <c r="C21" s="144"/>
      <c r="D21" s="145"/>
      <c r="E21" s="120"/>
      <c r="F21" s="4"/>
      <c r="G21" s="90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43"/>
      <c r="B22" s="89"/>
      <c r="C22" s="144"/>
      <c r="D22" s="145"/>
      <c r="E22" s="120"/>
      <c r="F22" s="4"/>
      <c r="G22" s="90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46"/>
      <c r="B23" s="89"/>
      <c r="C23" s="25"/>
      <c r="D23" s="147"/>
      <c r="E23" s="120"/>
      <c r="F23" s="4"/>
      <c r="G23" s="90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146"/>
      <c r="B24" s="89"/>
      <c r="C24" s="25"/>
      <c r="D24" s="147"/>
      <c r="E24" s="120"/>
      <c r="F24" s="4"/>
      <c r="G24" s="90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146"/>
      <c r="B25" s="89"/>
      <c r="C25" s="25"/>
      <c r="D25" s="147"/>
      <c r="E25" s="120"/>
      <c r="F25" s="4"/>
      <c r="G25" s="90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146"/>
      <c r="B26" s="25"/>
      <c r="C26" s="25"/>
      <c r="D26" s="147"/>
      <c r="E26" s="120"/>
      <c r="F26" s="4"/>
      <c r="G26" s="90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146"/>
      <c r="B27" s="25"/>
      <c r="C27" s="25"/>
      <c r="D27" s="147"/>
      <c r="E27" s="120"/>
      <c r="F27" s="4"/>
      <c r="G27" s="90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146"/>
      <c r="B28" s="25"/>
      <c r="C28" s="25"/>
      <c r="D28" s="147"/>
      <c r="E28" s="120"/>
      <c r="F28" s="4"/>
      <c r="G28" s="90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147"/>
      <c r="B29" s="25"/>
      <c r="C29" s="25"/>
      <c r="D29" s="25"/>
      <c r="E29" s="120"/>
      <c r="F29" s="4"/>
      <c r="G29" s="90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147"/>
      <c r="B30" s="25"/>
      <c r="C30" s="25"/>
      <c r="D30" s="25"/>
      <c r="E30" s="120"/>
      <c r="F30" s="4"/>
      <c r="G30" s="90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147"/>
      <c r="B31" s="25"/>
      <c r="C31" s="25"/>
      <c r="D31" s="25"/>
      <c r="E31" s="120"/>
      <c r="F31" s="4"/>
      <c r="G31" s="90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147"/>
      <c r="B32" s="25"/>
      <c r="C32" s="25"/>
      <c r="D32" s="25"/>
      <c r="E32" s="120"/>
      <c r="F32" s="4"/>
      <c r="G32" s="90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147"/>
      <c r="B33" s="25"/>
      <c r="C33" s="25"/>
      <c r="D33" s="25"/>
      <c r="E33" s="120"/>
      <c r="F33" s="4"/>
      <c r="G33" s="90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147"/>
      <c r="B34" s="25"/>
      <c r="C34" s="25"/>
      <c r="D34" s="25"/>
      <c r="E34" s="120"/>
      <c r="F34" s="4"/>
      <c r="G34" s="90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147"/>
      <c r="B35" s="25"/>
      <c r="C35" s="25"/>
      <c r="D35" s="25"/>
      <c r="E35" s="120"/>
      <c r="F35" s="4"/>
      <c r="G35" s="90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147"/>
      <c r="B36" s="25"/>
      <c r="C36" s="25"/>
      <c r="D36" s="25"/>
      <c r="E36" s="120"/>
      <c r="F36" s="4"/>
      <c r="G36" s="90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147"/>
      <c r="B37" s="25"/>
      <c r="C37" s="25"/>
      <c r="D37" s="25"/>
      <c r="E37" s="120"/>
      <c r="F37" s="4"/>
      <c r="G37" s="90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120"/>
      <c r="F38" s="4"/>
      <c r="G38" s="90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120"/>
      <c r="F39" s="4"/>
      <c r="G39" s="90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120"/>
      <c r="F40" s="4"/>
      <c r="G40" s="90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120"/>
      <c r="F41" s="4"/>
      <c r="G41" s="90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120"/>
      <c r="F42" s="4"/>
      <c r="G42" s="90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120"/>
      <c r="F43" s="4"/>
      <c r="G43" s="90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120"/>
      <c r="F44" s="4"/>
      <c r="G44" s="90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120"/>
      <c r="F45" s="4"/>
      <c r="G45" s="90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120"/>
      <c r="F46" s="4"/>
      <c r="G46" s="90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120"/>
      <c r="F47" s="4"/>
      <c r="G47" s="90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120"/>
      <c r="F48" s="4"/>
      <c r="G48" s="90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120"/>
      <c r="F49" s="4"/>
      <c r="G49" s="90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120"/>
      <c r="F50" s="4"/>
      <c r="G50" s="90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120"/>
      <c r="F51" s="4"/>
      <c r="G51" s="90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120"/>
      <c r="F52" s="4"/>
      <c r="G52" s="90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120"/>
      <c r="F53" s="4"/>
      <c r="G53" s="90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120"/>
      <c r="F54" s="4"/>
      <c r="G54" s="90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120"/>
      <c r="F55" s="4"/>
      <c r="G55" s="90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120"/>
      <c r="F56" s="4"/>
      <c r="G56" s="90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120"/>
      <c r="F57" s="4"/>
      <c r="G57" s="90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120"/>
      <c r="F58" s="4"/>
      <c r="G58" s="90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120"/>
      <c r="F59" s="4"/>
      <c r="G59" s="90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120"/>
      <c r="F60" s="4"/>
      <c r="G60" s="90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120"/>
      <c r="F61" s="4"/>
      <c r="G61" s="90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120"/>
      <c r="F62" s="4"/>
      <c r="G62" s="90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120"/>
      <c r="F63" s="4"/>
      <c r="G63" s="90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120"/>
      <c r="F64" s="4"/>
      <c r="G64" s="90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120"/>
      <c r="F65" s="4"/>
      <c r="G65" s="90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120"/>
      <c r="F66" s="4"/>
      <c r="G66" s="90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120"/>
      <c r="F67" s="4"/>
      <c r="G67" s="90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120"/>
      <c r="F68" s="4"/>
      <c r="G68" s="90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120"/>
      <c r="F69" s="4"/>
      <c r="G69" s="90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120"/>
      <c r="F70" s="4"/>
      <c r="G70" s="90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120"/>
      <c r="F71" s="4"/>
      <c r="G71" s="90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120"/>
      <c r="F72" s="4"/>
      <c r="G72" s="90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120"/>
      <c r="F73" s="4"/>
      <c r="G73" s="90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120"/>
      <c r="F74" s="4"/>
      <c r="G74" s="90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120"/>
      <c r="F75" s="4"/>
      <c r="G75" s="90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120"/>
      <c r="F76" s="4"/>
      <c r="G76" s="90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120"/>
      <c r="F77" s="4"/>
      <c r="G77" s="90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120"/>
      <c r="F78" s="4"/>
      <c r="G78" s="90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120"/>
      <c r="F79" s="4"/>
      <c r="G79" s="90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120"/>
      <c r="F80" s="4"/>
      <c r="G80" s="90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120"/>
      <c r="F81" s="4"/>
      <c r="G81" s="90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120"/>
      <c r="F82" s="4"/>
      <c r="G82" s="90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120"/>
      <c r="F83" s="4"/>
      <c r="G83" s="90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120"/>
      <c r="F84" s="4"/>
      <c r="G84" s="90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120"/>
      <c r="F85" s="4"/>
      <c r="G85" s="90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120"/>
      <c r="F86" s="4"/>
      <c r="G86" s="90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120"/>
      <c r="F87" s="4"/>
      <c r="G87" s="90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120"/>
      <c r="F88" s="4"/>
      <c r="G88" s="90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120"/>
      <c r="F89" s="4"/>
      <c r="G89" s="90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120"/>
      <c r="F90" s="4"/>
      <c r="G90" s="90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120"/>
      <c r="F91" s="4"/>
      <c r="G91" s="90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120"/>
      <c r="F92" s="4"/>
      <c r="G92" s="90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120"/>
      <c r="F93" s="4"/>
      <c r="G93" s="90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120"/>
      <c r="F94" s="4"/>
      <c r="G94" s="90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120"/>
      <c r="F95" s="4"/>
      <c r="G95" s="90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120"/>
      <c r="F96" s="4"/>
      <c r="G96" s="90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120"/>
      <c r="F97" s="4"/>
      <c r="G97" s="90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120"/>
      <c r="F98" s="4"/>
      <c r="G98" s="90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120"/>
      <c r="F99" s="4"/>
      <c r="G99" s="90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120"/>
      <c r="F100" s="4"/>
      <c r="G100" s="90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120"/>
      <c r="F101" s="4"/>
      <c r="G101" s="90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120"/>
      <c r="F102" s="4"/>
      <c r="G102" s="90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120"/>
      <c r="F103" s="4"/>
      <c r="G103" s="90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120"/>
      <c r="F104" s="4"/>
      <c r="G104" s="90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120"/>
      <c r="F105" s="4"/>
      <c r="G105" s="90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120"/>
      <c r="F106" s="4"/>
      <c r="G106" s="90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120"/>
      <c r="F107" s="4"/>
      <c r="G107" s="90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120"/>
      <c r="F108" s="4"/>
      <c r="G108" s="90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120"/>
      <c r="F109" s="4"/>
      <c r="G109" s="90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120"/>
      <c r="F110" s="4"/>
      <c r="G110" s="90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120"/>
      <c r="F111" s="4"/>
      <c r="G111" s="90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120"/>
      <c r="F112" s="4"/>
      <c r="G112" s="90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120"/>
      <c r="F113" s="4"/>
      <c r="G113" s="90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120"/>
      <c r="F114" s="4"/>
      <c r="G114" s="90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120"/>
      <c r="F115" s="4"/>
      <c r="G115" s="90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120"/>
      <c r="F116" s="4"/>
      <c r="G116" s="90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120"/>
      <c r="F117" s="4"/>
      <c r="G117" s="90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120"/>
      <c r="F118" s="4"/>
      <c r="G118" s="90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120"/>
      <c r="F119" s="4"/>
      <c r="G119" s="90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120"/>
      <c r="F120" s="4"/>
      <c r="G120" s="90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120"/>
      <c r="F121" s="4"/>
      <c r="G121" s="90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120"/>
      <c r="F122" s="4"/>
      <c r="G122" s="90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120"/>
      <c r="F123" s="4"/>
      <c r="G123" s="90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120"/>
      <c r="F124" s="4"/>
      <c r="G124" s="90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120"/>
      <c r="F125" s="4"/>
      <c r="G125" s="90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120"/>
      <c r="F126" s="4"/>
      <c r="G126" s="90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120"/>
      <c r="F127" s="4"/>
      <c r="G127" s="90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120"/>
      <c r="F128" s="4"/>
      <c r="G128" s="90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120"/>
      <c r="F129" s="4"/>
      <c r="G129" s="90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120"/>
      <c r="F130" s="4"/>
      <c r="G130" s="90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120"/>
      <c r="F131" s="4"/>
      <c r="G131" s="90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120"/>
      <c r="F132" s="4"/>
      <c r="G132" s="90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120"/>
      <c r="F133" s="4"/>
      <c r="G133" s="90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120"/>
      <c r="F134" s="4"/>
      <c r="G134" s="90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120"/>
      <c r="F135" s="4"/>
      <c r="G135" s="90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120"/>
      <c r="F136" s="4"/>
      <c r="G136" s="90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120"/>
      <c r="F137" s="4"/>
      <c r="G137" s="90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120"/>
      <c r="F138" s="4"/>
      <c r="G138" s="90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120"/>
      <c r="F139" s="4"/>
      <c r="G139" s="90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120"/>
      <c r="F140" s="4"/>
      <c r="G140" s="90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120"/>
      <c r="F141" s="4"/>
      <c r="G141" s="90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120"/>
      <c r="F142" s="4"/>
      <c r="G142" s="90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120"/>
      <c r="F143" s="4"/>
      <c r="G143" s="90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120"/>
      <c r="F144" s="4"/>
      <c r="G144" s="90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90"/>
      <c r="G145" s="90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90"/>
      <c r="G146" s="90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90"/>
      <c r="G147" s="90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90"/>
      <c r="G148" s="90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90"/>
      <c r="G149" s="90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90"/>
      <c r="G150" s="90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90"/>
      <c r="G151" s="90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90"/>
      <c r="G152" s="90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90"/>
      <c r="G153" s="90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90"/>
      <c r="G154" s="90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90"/>
      <c r="G155" s="90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90"/>
      <c r="G156" s="90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90"/>
      <c r="G157" s="90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90"/>
      <c r="G158" s="90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90"/>
      <c r="G159" s="90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90"/>
      <c r="G160" s="90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90"/>
      <c r="G161" s="90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90"/>
      <c r="G162" s="90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90"/>
      <c r="G163" s="90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90"/>
      <c r="G164" s="90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90"/>
      <c r="G165" s="90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90"/>
      <c r="G166" s="90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90"/>
      <c r="G167" s="90">
        <f t="shared" ref="G167:G212" si="2">B167*0.05</f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90"/>
      <c r="G168" s="90">
        <f t="shared" si="2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90"/>
      <c r="G169" s="90">
        <f t="shared" si="2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90"/>
      <c r="G170" s="90">
        <f t="shared" si="2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90"/>
      <c r="G171" s="90">
        <f t="shared" si="2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90"/>
      <c r="G172" s="90">
        <f t="shared" si="2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90"/>
      <c r="G173" s="90">
        <f t="shared" si="2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90"/>
      <c r="G174" s="90">
        <f t="shared" si="2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90"/>
      <c r="G175" s="90">
        <f t="shared" si="2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90"/>
      <c r="G176" s="90">
        <f t="shared" si="2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90"/>
      <c r="G177" s="90">
        <f t="shared" si="2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90"/>
      <c r="G178" s="90">
        <f t="shared" si="2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90"/>
      <c r="G179" s="90">
        <f t="shared" si="2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90"/>
      <c r="G180" s="90">
        <f t="shared" si="2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90"/>
      <c r="G181" s="90">
        <f t="shared" si="2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90"/>
      <c r="G182" s="90">
        <f t="shared" si="2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90"/>
      <c r="G183" s="90">
        <f t="shared" si="2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90"/>
      <c r="G184" s="90">
        <f t="shared" si="2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90"/>
      <c r="G185" s="90">
        <f t="shared" si="2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90"/>
      <c r="G186" s="90">
        <f t="shared" si="2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90"/>
      <c r="G187" s="90">
        <f t="shared" si="2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90"/>
      <c r="G188" s="90">
        <f t="shared" si="2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90"/>
      <c r="G189" s="90">
        <f t="shared" si="2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90"/>
      <c r="G190" s="90">
        <f t="shared" si="2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90"/>
      <c r="G191" s="90">
        <f t="shared" si="2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90"/>
      <c r="G192" s="90">
        <f t="shared" si="2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90"/>
      <c r="G193" s="90">
        <f t="shared" si="2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90"/>
      <c r="G194" s="90">
        <f t="shared" si="2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90"/>
      <c r="G195" s="90">
        <f t="shared" si="2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90"/>
      <c r="G196" s="90">
        <f t="shared" si="2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90"/>
      <c r="G197" s="90">
        <f t="shared" si="2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90"/>
      <c r="G198" s="90">
        <f t="shared" si="2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90"/>
      <c r="G199" s="90">
        <f t="shared" si="2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90"/>
      <c r="G200" s="90">
        <f t="shared" si="2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90"/>
      <c r="G201" s="90">
        <f t="shared" si="2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90"/>
      <c r="G202" s="90">
        <f t="shared" si="2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90"/>
      <c r="G203" s="90">
        <f t="shared" si="2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90"/>
      <c r="G204" s="90">
        <f t="shared" si="2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90"/>
      <c r="G205" s="90">
        <f t="shared" si="2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90"/>
      <c r="G206" s="90">
        <f t="shared" si="2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90"/>
      <c r="G207" s="90">
        <f t="shared" si="2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90"/>
      <c r="G208" s="90">
        <f t="shared" si="2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90"/>
      <c r="G209" s="90">
        <f t="shared" si="2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90"/>
      <c r="G210" s="90">
        <f t="shared" si="2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90"/>
      <c r="G211" s="90">
        <f t="shared" si="2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90"/>
      <c r="G212" s="90">
        <f t="shared" si="2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9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9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9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9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9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9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9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9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9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9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9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9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9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9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9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9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9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9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9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9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9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9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9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9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9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9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9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9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9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9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9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9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9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9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9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9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9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9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9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9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9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9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9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9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9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9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9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9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9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9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9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9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9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9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9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9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9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9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9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9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9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9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9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9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9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9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9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9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9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9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9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9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9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9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9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9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9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9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9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9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9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9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9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9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9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9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9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9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9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9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9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9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9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9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9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9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9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9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9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9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9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9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9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9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9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9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9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9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9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9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9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9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9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9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9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9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9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9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9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9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9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9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9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9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9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9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9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9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9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9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9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9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9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9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9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9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9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9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9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9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9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9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9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9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9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9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9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9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9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9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9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9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9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9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9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9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9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9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9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9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9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9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9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9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9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9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9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9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9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9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9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9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9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9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9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9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9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9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9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9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9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9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9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9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9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9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9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9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9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9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9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9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9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9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9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9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9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9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9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9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9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9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9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9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9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9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9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9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9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9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9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9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9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9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9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9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9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9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9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9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9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9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9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9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9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9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9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9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9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9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9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9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9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9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9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9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9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9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9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9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9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9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9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9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9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9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9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9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9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9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9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9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9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9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9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9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9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9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9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9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9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9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9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9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9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9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9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9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9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9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9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9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9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9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9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9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9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9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9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9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9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9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9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9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9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9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9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9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9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9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9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9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9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9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9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9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9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9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9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9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9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9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9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9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9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9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9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9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9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9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9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9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9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9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9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9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9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9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9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9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9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9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9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9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9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9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9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9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9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9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9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9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9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9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9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9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9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9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9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9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9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9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9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9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9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9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9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9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9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9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9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9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9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9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9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9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9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9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9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9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9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9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9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9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9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9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9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9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9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9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9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9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9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9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9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9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9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9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9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9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9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9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9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9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9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9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9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9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9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9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9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9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9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9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9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9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9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9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9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9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9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9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9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9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9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9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9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9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9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9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9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9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9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9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9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9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9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9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9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9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9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9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9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9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9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9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9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9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9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9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9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9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9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9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9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9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9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9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9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9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9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9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9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9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9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9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9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9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9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9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9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9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9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9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9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9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9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9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9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9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9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9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9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9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9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9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9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9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9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9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9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9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9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9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9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9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9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9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9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9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9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9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9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9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9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9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9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9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9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9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9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9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9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9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9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9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9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9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9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9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9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9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9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9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9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9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9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9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9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9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9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9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9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9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9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9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9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9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9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9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9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9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9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9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9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9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9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9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9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9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9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9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9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9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9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9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9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9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9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9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9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9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9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9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9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9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9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9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9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9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9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9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9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9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9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9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9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9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9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9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9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9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9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9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9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9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9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9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9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9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9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9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9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9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9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9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9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9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9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9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9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9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9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9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9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9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9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9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9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9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9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9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9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9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9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9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9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9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9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9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9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9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9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9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9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9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9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9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9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9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9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9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9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9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9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9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9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9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9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9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9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9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9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9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9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9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9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9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9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9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9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9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9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9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9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9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9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9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9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9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9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9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9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9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9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9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9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9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9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9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9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9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9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9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9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9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9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9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9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9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9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9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9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9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9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9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9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9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9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9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9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9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9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9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9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9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9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9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9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9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9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9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9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9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9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9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9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9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9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9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9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9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9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9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9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9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9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9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9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9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9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9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9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9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9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9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9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9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9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9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9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9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9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9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9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9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9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9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9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9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9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9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9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9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9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9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9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9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9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9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9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9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9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9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9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9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9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9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9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9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9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9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9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9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9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9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9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9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9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9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9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9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9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9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90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90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90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90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90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121"/>
      <c r="V971" s="121"/>
      <c r="W971" s="121"/>
      <c r="X971" s="121"/>
      <c r="Y971" s="121"/>
      <c r="Z971" s="121"/>
    </row>
    <row r="972">
      <c r="A972" s="4"/>
      <c r="B972" s="4"/>
      <c r="C972" s="4"/>
      <c r="D972" s="4"/>
      <c r="E972" s="4"/>
      <c r="F972" s="4"/>
      <c r="G972" s="4"/>
      <c r="H972" s="90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121"/>
      <c r="V972" s="121"/>
      <c r="W972" s="121"/>
      <c r="X972" s="121"/>
      <c r="Y972" s="121"/>
      <c r="Z972" s="121"/>
    </row>
    <row r="973">
      <c r="A973" s="4"/>
      <c r="B973" s="4"/>
      <c r="C973" s="4"/>
      <c r="D973" s="4"/>
      <c r="E973" s="4"/>
      <c r="F973" s="4"/>
      <c r="G973" s="4"/>
      <c r="H973" s="90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121"/>
      <c r="V973" s="121"/>
      <c r="W973" s="121"/>
      <c r="X973" s="121"/>
      <c r="Y973" s="121"/>
      <c r="Z973" s="121"/>
    </row>
    <row r="974">
      <c r="A974" s="4"/>
      <c r="B974" s="4"/>
      <c r="C974" s="4"/>
      <c r="D974" s="4"/>
      <c r="E974" s="4"/>
      <c r="F974" s="4"/>
      <c r="G974" s="4"/>
      <c r="H974" s="90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121"/>
      <c r="V974" s="121"/>
      <c r="W974" s="121"/>
      <c r="X974" s="121"/>
      <c r="Y974" s="121"/>
      <c r="Z974" s="121"/>
    </row>
    <row r="975">
      <c r="A975" s="4"/>
      <c r="B975" s="4"/>
      <c r="C975" s="4"/>
      <c r="D975" s="4"/>
      <c r="E975" s="4"/>
      <c r="F975" s="4"/>
      <c r="G975" s="4"/>
      <c r="H975" s="90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121"/>
      <c r="V975" s="121"/>
      <c r="W975" s="121"/>
      <c r="X975" s="121"/>
      <c r="Y975" s="121"/>
      <c r="Z975" s="121"/>
    </row>
    <row r="976">
      <c r="A976" s="4"/>
      <c r="B976" s="4"/>
      <c r="C976" s="4"/>
      <c r="D976" s="4"/>
      <c r="E976" s="4"/>
      <c r="F976" s="4"/>
      <c r="G976" s="4"/>
      <c r="H976" s="90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121"/>
      <c r="V976" s="121"/>
      <c r="W976" s="121"/>
      <c r="X976" s="121"/>
      <c r="Y976" s="121"/>
      <c r="Z976" s="121"/>
    </row>
    <row r="977">
      <c r="A977" s="4"/>
      <c r="B977" s="4"/>
      <c r="C977" s="4"/>
      <c r="D977" s="4"/>
      <c r="E977" s="4"/>
      <c r="F977" s="4"/>
      <c r="G977" s="4"/>
      <c r="H977" s="90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121"/>
      <c r="V977" s="121"/>
      <c r="W977" s="121"/>
      <c r="X977" s="121"/>
      <c r="Y977" s="121"/>
      <c r="Z977" s="121"/>
    </row>
    <row r="978">
      <c r="A978" s="4"/>
      <c r="B978" s="4"/>
      <c r="C978" s="4"/>
      <c r="D978" s="4"/>
      <c r="E978" s="4"/>
      <c r="F978" s="4"/>
      <c r="G978" s="4"/>
      <c r="H978" s="90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121"/>
      <c r="V978" s="121"/>
      <c r="W978" s="121"/>
      <c r="X978" s="121"/>
      <c r="Y978" s="121"/>
      <c r="Z978" s="121"/>
    </row>
    <row r="979">
      <c r="A979" s="4"/>
      <c r="B979" s="4"/>
      <c r="C979" s="4"/>
      <c r="D979" s="4"/>
      <c r="E979" s="4"/>
      <c r="F979" s="4"/>
      <c r="G979" s="4"/>
      <c r="H979" s="90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121"/>
      <c r="V979" s="121"/>
      <c r="W979" s="121"/>
      <c r="X979" s="121"/>
      <c r="Y979" s="121"/>
      <c r="Z979" s="121"/>
    </row>
    <row r="980">
      <c r="A980" s="4"/>
      <c r="B980" s="4"/>
      <c r="C980" s="4"/>
      <c r="D980" s="4"/>
      <c r="E980" s="4"/>
      <c r="F980" s="4"/>
      <c r="G980" s="4"/>
      <c r="H980" s="90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121"/>
      <c r="V980" s="121"/>
      <c r="W980" s="121"/>
      <c r="X980" s="121"/>
      <c r="Y980" s="121"/>
      <c r="Z980" s="121"/>
    </row>
    <row r="981">
      <c r="A981" s="4"/>
      <c r="B981" s="4"/>
      <c r="C981" s="4"/>
      <c r="D981" s="4"/>
      <c r="E981" s="4"/>
      <c r="F981" s="4"/>
      <c r="G981" s="4"/>
      <c r="H981" s="90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121"/>
      <c r="V981" s="121"/>
      <c r="W981" s="121"/>
      <c r="X981" s="121"/>
      <c r="Y981" s="121"/>
      <c r="Z981" s="121"/>
    </row>
    <row r="982">
      <c r="A982" s="4"/>
      <c r="B982" s="4"/>
      <c r="C982" s="4"/>
      <c r="D982" s="4"/>
      <c r="E982" s="4"/>
      <c r="F982" s="4"/>
      <c r="G982" s="4"/>
      <c r="H982" s="90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121"/>
      <c r="V982" s="121"/>
      <c r="W982" s="121"/>
      <c r="X982" s="121"/>
      <c r="Y982" s="121"/>
      <c r="Z982" s="121"/>
    </row>
    <row r="983">
      <c r="A983" s="4"/>
      <c r="B983" s="4"/>
      <c r="C983" s="4"/>
      <c r="D983" s="4"/>
      <c r="E983" s="4"/>
      <c r="F983" s="4"/>
      <c r="G983" s="4"/>
      <c r="H983" s="90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121"/>
      <c r="V983" s="121"/>
      <c r="W983" s="121"/>
      <c r="X983" s="121"/>
      <c r="Y983" s="121"/>
      <c r="Z983" s="121"/>
    </row>
    <row r="984">
      <c r="A984" s="4"/>
      <c r="B984" s="4"/>
      <c r="C984" s="4"/>
      <c r="D984" s="4"/>
      <c r="E984" s="4"/>
      <c r="F984" s="4"/>
      <c r="G984" s="4"/>
      <c r="H984" s="90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121"/>
      <c r="V984" s="121"/>
      <c r="W984" s="121"/>
      <c r="X984" s="121"/>
      <c r="Y984" s="121"/>
      <c r="Z984" s="121"/>
    </row>
    <row r="985">
      <c r="A985" s="4"/>
      <c r="B985" s="4"/>
      <c r="C985" s="4"/>
      <c r="D985" s="4"/>
      <c r="E985" s="4"/>
      <c r="F985" s="4"/>
      <c r="G985" s="4"/>
      <c r="H985" s="90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121"/>
      <c r="V985" s="121"/>
      <c r="W985" s="121"/>
      <c r="X985" s="121"/>
      <c r="Y985" s="121"/>
      <c r="Z985" s="121"/>
    </row>
    <row r="986">
      <c r="A986" s="4"/>
      <c r="B986" s="4"/>
      <c r="C986" s="4"/>
      <c r="D986" s="4"/>
      <c r="E986" s="4"/>
      <c r="F986" s="4"/>
      <c r="G986" s="4"/>
      <c r="H986" s="90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121"/>
      <c r="V986" s="121"/>
      <c r="W986" s="121"/>
      <c r="X986" s="121"/>
      <c r="Y986" s="121"/>
      <c r="Z986" s="121"/>
    </row>
    <row r="987">
      <c r="A987" s="4"/>
      <c r="B987" s="4"/>
      <c r="C987" s="4"/>
      <c r="D987" s="4"/>
      <c r="E987" s="4"/>
      <c r="F987" s="4"/>
      <c r="G987" s="4"/>
      <c r="H987" s="90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121"/>
      <c r="V987" s="121"/>
      <c r="W987" s="121"/>
      <c r="X987" s="121"/>
      <c r="Y987" s="121"/>
      <c r="Z987" s="121"/>
    </row>
    <row r="988">
      <c r="A988" s="4"/>
      <c r="B988" s="4"/>
      <c r="C988" s="4"/>
      <c r="D988" s="4"/>
      <c r="E988" s="4"/>
      <c r="F988" s="4"/>
      <c r="G988" s="4"/>
      <c r="H988" s="90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121"/>
      <c r="V988" s="121"/>
      <c r="W988" s="121"/>
      <c r="X988" s="121"/>
      <c r="Y988" s="121"/>
      <c r="Z988" s="121"/>
    </row>
    <row r="989">
      <c r="A989" s="4"/>
      <c r="B989" s="4"/>
      <c r="C989" s="4"/>
      <c r="D989" s="4"/>
      <c r="E989" s="4"/>
      <c r="F989" s="4"/>
      <c r="G989" s="4"/>
      <c r="H989" s="90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121"/>
      <c r="V989" s="121"/>
      <c r="W989" s="121"/>
      <c r="X989" s="121"/>
      <c r="Y989" s="121"/>
      <c r="Z989" s="121"/>
    </row>
    <row r="990">
      <c r="A990" s="4"/>
      <c r="B990" s="4"/>
      <c r="C990" s="4"/>
      <c r="D990" s="4"/>
      <c r="E990" s="4"/>
      <c r="F990" s="4"/>
      <c r="G990" s="4"/>
      <c r="H990" s="90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121"/>
      <c r="V990" s="121"/>
      <c r="W990" s="121"/>
      <c r="X990" s="121"/>
      <c r="Y990" s="121"/>
      <c r="Z990" s="121"/>
    </row>
    <row r="991">
      <c r="A991" s="4"/>
      <c r="B991" s="4"/>
      <c r="C991" s="4"/>
      <c r="D991" s="4"/>
      <c r="E991" s="4"/>
      <c r="F991" s="4"/>
      <c r="G991" s="4"/>
      <c r="H991" s="90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121"/>
      <c r="V991" s="121"/>
      <c r="W991" s="121"/>
      <c r="X991" s="121"/>
      <c r="Y991" s="121"/>
      <c r="Z991" s="121"/>
    </row>
    <row r="992">
      <c r="A992" s="4"/>
      <c r="B992" s="4"/>
      <c r="C992" s="4"/>
      <c r="D992" s="4"/>
      <c r="E992" s="4"/>
      <c r="F992" s="4"/>
      <c r="G992" s="4"/>
      <c r="H992" s="90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121"/>
      <c r="V992" s="121"/>
      <c r="W992" s="121"/>
      <c r="X992" s="121"/>
      <c r="Y992" s="121"/>
      <c r="Z992" s="121"/>
    </row>
    <row r="993">
      <c r="A993" s="4"/>
      <c r="B993" s="4"/>
      <c r="C993" s="4"/>
      <c r="D993" s="4"/>
      <c r="E993" s="4"/>
      <c r="F993" s="4"/>
      <c r="G993" s="4"/>
      <c r="H993" s="90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121"/>
      <c r="V993" s="121"/>
      <c r="W993" s="121"/>
      <c r="X993" s="121"/>
      <c r="Y993" s="121"/>
      <c r="Z993" s="121"/>
    </row>
    <row r="994">
      <c r="A994" s="4"/>
      <c r="B994" s="4"/>
      <c r="C994" s="4"/>
      <c r="D994" s="4"/>
      <c r="E994" s="4"/>
      <c r="F994" s="4"/>
      <c r="G994" s="4"/>
      <c r="H994" s="90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121"/>
      <c r="V994" s="121"/>
      <c r="W994" s="121"/>
      <c r="X994" s="121"/>
      <c r="Y994" s="121"/>
      <c r="Z994" s="121"/>
    </row>
    <row r="995">
      <c r="A995" s="4"/>
      <c r="B995" s="4"/>
      <c r="C995" s="4"/>
      <c r="D995" s="4"/>
      <c r="E995" s="4"/>
      <c r="F995" s="4"/>
      <c r="G995" s="4"/>
      <c r="H995" s="12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121"/>
      <c r="V995" s="121"/>
      <c r="W995" s="121"/>
      <c r="X995" s="121"/>
      <c r="Y995" s="121"/>
      <c r="Z995" s="121"/>
    </row>
    <row r="996">
      <c r="A996" s="4"/>
      <c r="B996" s="4"/>
      <c r="C996" s="4"/>
      <c r="D996" s="4"/>
      <c r="E996" s="4"/>
      <c r="F996" s="4"/>
      <c r="G996" s="4"/>
      <c r="H996" s="12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121"/>
      <c r="V996" s="121"/>
      <c r="W996" s="121"/>
      <c r="X996" s="121"/>
      <c r="Y996" s="121"/>
      <c r="Z996" s="121"/>
    </row>
    <row r="997">
      <c r="A997" s="4"/>
      <c r="B997" s="4"/>
      <c r="C997" s="4"/>
      <c r="D997" s="4"/>
      <c r="E997" s="4"/>
      <c r="F997" s="4"/>
      <c r="G997" s="4"/>
      <c r="H997" s="12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121"/>
      <c r="V997" s="121"/>
      <c r="W997" s="121"/>
      <c r="X997" s="121"/>
      <c r="Y997" s="121"/>
      <c r="Z997" s="121"/>
    </row>
    <row r="998">
      <c r="A998" s="4"/>
      <c r="B998" s="4"/>
      <c r="C998" s="4"/>
      <c r="D998" s="4"/>
      <c r="E998" s="4"/>
      <c r="F998" s="4"/>
      <c r="G998" s="4"/>
      <c r="H998" s="12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121"/>
      <c r="V998" s="121"/>
      <c r="W998" s="121"/>
      <c r="X998" s="121"/>
      <c r="Y998" s="121"/>
      <c r="Z998" s="121"/>
    </row>
    <row r="999">
      <c r="A999" s="4"/>
      <c r="B999" s="4"/>
      <c r="C999" s="4"/>
      <c r="D999" s="4"/>
      <c r="E999" s="4"/>
      <c r="F999" s="4"/>
      <c r="G999" s="4"/>
      <c r="H999" s="12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121"/>
      <c r="V999" s="121"/>
      <c r="W999" s="121"/>
      <c r="X999" s="121"/>
      <c r="Y999" s="121"/>
      <c r="Z999" s="121"/>
    </row>
    <row r="1000">
      <c r="A1000" s="4"/>
      <c r="B1000" s="4"/>
      <c r="C1000" s="4"/>
      <c r="D1000" s="4"/>
      <c r="E1000" s="4"/>
      <c r="F1000" s="4"/>
      <c r="G1000" s="4"/>
      <c r="H1000" s="12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121"/>
      <c r="V1000" s="121"/>
      <c r="W1000" s="121"/>
      <c r="X1000" s="121"/>
      <c r="Y1000" s="121"/>
      <c r="Z1000" s="121"/>
    </row>
    <row r="1001">
      <c r="A1001" s="4"/>
      <c r="B1001" s="4"/>
      <c r="C1001" s="4"/>
      <c r="D1001" s="4"/>
      <c r="E1001" s="4"/>
      <c r="F1001" s="4"/>
      <c r="G1001" s="4"/>
      <c r="H1001" s="12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121"/>
      <c r="V1001" s="121"/>
      <c r="W1001" s="121"/>
      <c r="X1001" s="121"/>
      <c r="Y1001" s="121"/>
      <c r="Z1001" s="121"/>
    </row>
    <row r="1002">
      <c r="A1002" s="4"/>
      <c r="B1002" s="4"/>
      <c r="C1002" s="4"/>
      <c r="D1002" s="4"/>
      <c r="E1002" s="4"/>
      <c r="F1002" s="4"/>
      <c r="G1002" s="4"/>
      <c r="H1002" s="12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121"/>
      <c r="V1002" s="121"/>
      <c r="W1002" s="121"/>
      <c r="X1002" s="121"/>
      <c r="Y1002" s="121"/>
      <c r="Z1002" s="121"/>
    </row>
    <row r="1003">
      <c r="A1003" s="4"/>
      <c r="B1003" s="4"/>
      <c r="C1003" s="4"/>
      <c r="D1003" s="4"/>
      <c r="E1003" s="4"/>
      <c r="F1003" s="4"/>
      <c r="G1003" s="4"/>
      <c r="H1003" s="12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121"/>
      <c r="V1003" s="121"/>
      <c r="W1003" s="121"/>
      <c r="X1003" s="121"/>
      <c r="Y1003" s="121"/>
      <c r="Z1003" s="121"/>
    </row>
    <row r="1004">
      <c r="A1004" s="4"/>
      <c r="B1004" s="4"/>
      <c r="C1004" s="4"/>
      <c r="D1004" s="4"/>
      <c r="E1004" s="4"/>
      <c r="F1004" s="4"/>
      <c r="G1004" s="4"/>
      <c r="H1004" s="12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21"/>
      <c r="V1004" s="121"/>
      <c r="W1004" s="121"/>
      <c r="X1004" s="121"/>
      <c r="Y1004" s="121"/>
      <c r="Z1004" s="121"/>
    </row>
    <row r="1005">
      <c r="A1005" s="4"/>
      <c r="B1005" s="4"/>
      <c r="C1005" s="4"/>
      <c r="D1005" s="4"/>
      <c r="E1005" s="4"/>
      <c r="F1005" s="4"/>
      <c r="G1005" s="4"/>
      <c r="H1005" s="12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121"/>
      <c r="V1005" s="121"/>
      <c r="W1005" s="121"/>
      <c r="X1005" s="121"/>
      <c r="Y1005" s="121"/>
      <c r="Z1005" s="121"/>
    </row>
  </sheetData>
  <mergeCells count="16">
    <mergeCell ref="B2:B3"/>
    <mergeCell ref="C2:C3"/>
    <mergeCell ref="D2:D3"/>
    <mergeCell ref="E2:E3"/>
    <mergeCell ref="F2:F3"/>
    <mergeCell ref="G2:G3"/>
    <mergeCell ref="H2:H3"/>
    <mergeCell ref="G4:G5"/>
    <mergeCell ref="H4:H5"/>
    <mergeCell ref="A2:A3"/>
    <mergeCell ref="A4:A5"/>
    <mergeCell ref="B4:B5"/>
    <mergeCell ref="C4:C5"/>
    <mergeCell ref="D4:D5"/>
    <mergeCell ref="E4:E5"/>
    <mergeCell ref="F4:F5"/>
  </mergeCells>
  <drawing r:id="rId1"/>
</worksheet>
</file>