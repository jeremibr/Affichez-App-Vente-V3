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Paye" sheetId="2" r:id="rId5"/>
    <sheet state="visible" name="Janvier" sheetId="3" r:id="rId6"/>
    <sheet state="visible" name="Février" sheetId="4" r:id="rId7"/>
    <sheet state="visible" name="Mars" sheetId="5" r:id="rId8"/>
    <sheet state="visible" name="Avril" sheetId="6" r:id="rId9"/>
    <sheet state="visible" name="Mai" sheetId="7" r:id="rId10"/>
    <sheet state="visible" name="Juin" sheetId="8" r:id="rId11"/>
    <sheet state="visible" name="Juillet" sheetId="9" r:id="rId12"/>
    <sheet state="visible" name="Août" sheetId="10" r:id="rId13"/>
    <sheet state="visible" name="Septembre" sheetId="11" r:id="rId14"/>
    <sheet state="visible" name="Octobre" sheetId="12" r:id="rId15"/>
    <sheet state="visible" name="Novembre" sheetId="13" r:id="rId16"/>
    <sheet state="visible" name="Décembre" sheetId="14" r:id="rId17"/>
  </sheets>
  <definedNames>
    <definedName hidden="1" localSheetId="2" name="_xlnm._FilterDatabase">Janvier!$A$7:$G$205</definedName>
    <definedName hidden="1" localSheetId="3" name="_xlnm._FilterDatabase">'Février'!$A$7:$G$208</definedName>
    <definedName hidden="1" localSheetId="8" name="_xlnm._FilterDatabase">Juillet!$A$7:$G$212</definedName>
    <definedName hidden="1" localSheetId="10" name="_xlnm._FilterDatabase">Septembre!$A$7:$G$212</definedName>
    <definedName hidden="1" localSheetId="11" name="_xlnm._FilterDatabase">Octobre!$A$7:$G$212</definedName>
  </definedNames>
  <calcPr/>
</workbook>
</file>

<file path=xl/sharedStrings.xml><?xml version="1.0" encoding="utf-8"?>
<sst xmlns="http://schemas.openxmlformats.org/spreadsheetml/2006/main" count="292" uniqueCount="65">
  <si>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</si>
  <si>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</si>
  <si>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</si>
  <si>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</si>
  <si>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</si>
  <si>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</si>
  <si>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</si>
  <si>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</si>
  <si>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</si>
  <si>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</si>
  <si>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</si>
  <si>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</si>
  <si>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</si>
  <si>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</si>
  <si>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</si>
  <si>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</si>
  <si>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</si>
  <si>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</si>
  <si>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</si>
  <si>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</si>
  <si>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</si>
  <si>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</si>
  <si>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</si>
  <si>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</si>
  <si>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</si>
  <si>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 xml:space="preserve">PAIEMENT AFFICHEZ </t>
  </si>
  <si>
    <t>SOLDE ANNÉE PRÉCÉDANTE</t>
  </si>
  <si>
    <t>PAYE #</t>
  </si>
  <si>
    <t>Salaire de base</t>
  </si>
  <si>
    <t>Commission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</si>
  <si>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</si>
  <si>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</si>
  <si>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</si>
  <si>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</si>
  <si>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</si>
  <si>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</si>
  <si>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</si>
  <si>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</si>
  <si>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</si>
  <si>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</si>
  <si>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</si>
  <si>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</si>
  <si>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</si>
  <si>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</si>
  <si>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</si>
  <si>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</si>
  <si>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</si>
  <si>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</si>
  <si>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</si>
  <si>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</si>
  <si>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Chantal Fortier Courtier</t>
  </si>
  <si>
    <t>MTL-001993</t>
  </si>
  <si>
    <t>Vincent Dagenais</t>
  </si>
  <si>
    <t>MTL-002041</t>
  </si>
  <si>
    <t>Benjamin Rousseau Courtier Immobilier Résidentiel</t>
  </si>
  <si>
    <t>MTL-002079</t>
  </si>
  <si>
    <t>Isabelle Gauthier Meloche - IA Groupe Financier</t>
  </si>
  <si>
    <t>MTL-002083</t>
  </si>
  <si>
    <t>AGENCE PUB</t>
  </si>
  <si>
    <t>MTL-002130</t>
  </si>
  <si>
    <t>Les industries Pronet Inc</t>
  </si>
  <si>
    <t>MTL-002176</t>
  </si>
  <si>
    <t>MTL-002175</t>
  </si>
  <si>
    <t>Qualité Aeration INC</t>
  </si>
  <si>
    <t>MTL-002173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</si>
</sst>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 yyyy"/>
    <numFmt numFmtId="168" formatCode="dd/MM/yyyy"/>
    <numFmt numFmtId="169" formatCode="&quot;$&quot;#,##0.00"/>
    <numFmt numFmtId="170" formatCode="yyyy-mm-dd"/>
    <numFmt numFmtId="171" formatCode="dd-mm-yy"/>
  </numFmts>
  <fonts count="15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horizontal="center" readingOrder="0" vertical="center"/>
    </xf>
    <xf borderId="4" fillId="11" fontId="3" numFmtId="0" xfId="0" applyAlignment="1" applyBorder="1" applyFill="1" applyFont="1">
      <alignment horizontal="center" readingOrder="0" vertical="center"/>
    </xf>
    <xf borderId="4" fillId="11" fontId="0" numFmtId="166" xfId="0" applyAlignment="1" applyBorder="1" applyFont="1" applyNumberFormat="1">
      <alignment horizontal="center" readingOrder="0" vertical="center"/>
    </xf>
    <xf borderId="4" fillId="11" fontId="0" numFmtId="166" xfId="0" applyAlignment="1" applyBorder="1" applyFont="1" applyNumberFormat="1">
      <alignment horizontal="center" vertical="center"/>
    </xf>
    <xf borderId="10" fillId="0" fontId="0" numFmtId="167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0" fontId="0" numFmtId="166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0" numFmtId="170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0" numFmtId="0" xfId="0" applyAlignment="1" applyFont="1">
      <alignment horizontal="center" vertical="bottom"/>
    </xf>
    <xf borderId="0" fillId="11" fontId="0" numFmtId="166" xfId="0" applyAlignment="1" applyFont="1" applyNumberFormat="1">
      <alignment horizontal="center" vertical="bottom"/>
    </xf>
    <xf borderId="0" fillId="0" fontId="0" numFmtId="3" xfId="0" applyAlignment="1" applyFont="1" applyNumberFormat="1">
      <alignment horizontal="center" vertical="bottom"/>
    </xf>
    <xf borderId="0" fillId="0" fontId="0" numFmtId="168" xfId="0" applyAlignment="1" applyFont="1" applyNumberFormat="1">
      <alignment horizontal="center" vertical="bottom"/>
    </xf>
    <xf borderId="0" fillId="0" fontId="0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8080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0</v>
      </c>
      <c r="D4" s="17">
        <f>Janvier!B4</f>
        <v>0</v>
      </c>
      <c r="E4" s="18"/>
      <c r="F4" s="18">
        <f t="shared" ref="F4:F15" si="2">E21+I21+M21+Q21+U21+Y21</f>
        <v>0</v>
      </c>
      <c r="G4" s="19" t="str">
        <f t="shared" ref="G4:G16" si="3">D4/F4</f>
        <v>#DIV/0!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0</v>
      </c>
      <c r="D5" s="17">
        <f>'Février'!B4</f>
        <v>1195</v>
      </c>
      <c r="E5" s="26"/>
      <c r="F5" s="18">
        <f t="shared" si="2"/>
        <v>0</v>
      </c>
      <c r="G5" s="27" t="str">
        <f t="shared" si="3"/>
        <v>#DIV/0!</v>
      </c>
      <c r="H5" s="4"/>
      <c r="I5" s="4"/>
      <c r="J5" s="4"/>
      <c r="K5" s="12" t="s">
        <v>8</v>
      </c>
      <c r="L5" s="13">
        <f>E33+I33+M33+Q33+U33+Y33</f>
        <v>439000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0</v>
      </c>
      <c r="D6" s="17">
        <f>Mars!B4</f>
        <v>3040</v>
      </c>
      <c r="E6" s="26"/>
      <c r="F6" s="18">
        <f t="shared" si="2"/>
        <v>0</v>
      </c>
      <c r="G6" s="27" t="str">
        <f t="shared" si="3"/>
        <v>#DIV/0!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0</v>
      </c>
      <c r="D7" s="17">
        <f>Avril!B4</f>
        <v>3845</v>
      </c>
      <c r="E7" s="26"/>
      <c r="F7" s="18">
        <f t="shared" si="2"/>
        <v>22500</v>
      </c>
      <c r="G7" s="27">
        <f t="shared" si="3"/>
        <v>0.1708888889</v>
      </c>
      <c r="H7" s="4"/>
      <c r="I7" s="4"/>
      <c r="J7" s="4"/>
      <c r="K7" s="30" t="s">
        <v>4</v>
      </c>
      <c r="L7" s="31">
        <f>L3/L5</f>
        <v>0.01840546697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0</v>
      </c>
      <c r="D8" s="17">
        <f>Mai!B4</f>
        <v>0</v>
      </c>
      <c r="E8" s="26"/>
      <c r="F8" s="18">
        <f t="shared" si="2"/>
        <v>41500</v>
      </c>
      <c r="G8" s="27">
        <f t="shared" si="3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0</v>
      </c>
      <c r="D9" s="17">
        <f>Juin!B4</f>
        <v>0</v>
      </c>
      <c r="E9" s="26"/>
      <c r="F9" s="18">
        <f t="shared" si="2"/>
        <v>49000</v>
      </c>
      <c r="G9" s="27">
        <f t="shared" si="3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0</v>
      </c>
      <c r="D10" s="17">
        <f>Juillet!B4</f>
        <v>0</v>
      </c>
      <c r="E10" s="26"/>
      <c r="F10" s="18">
        <f t="shared" si="2"/>
        <v>32000</v>
      </c>
      <c r="G10" s="27">
        <f t="shared" si="3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0</v>
      </c>
      <c r="D11" s="17">
        <f>'Août'!B4</f>
        <v>0</v>
      </c>
      <c r="E11" s="26"/>
      <c r="F11" s="18">
        <f t="shared" si="2"/>
        <v>54000</v>
      </c>
      <c r="G11" s="27">
        <f t="shared" si="3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0</v>
      </c>
      <c r="D12" s="17">
        <f>Septembre!B4</f>
        <v>0</v>
      </c>
      <c r="E12" s="26"/>
      <c r="F12" s="18">
        <f t="shared" si="2"/>
        <v>76000</v>
      </c>
      <c r="G12" s="27">
        <f t="shared" si="3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0</v>
      </c>
      <c r="D13" s="17">
        <f>Octobre!B4</f>
        <v>0</v>
      </c>
      <c r="E13" s="26"/>
      <c r="F13" s="18">
        <f t="shared" si="2"/>
        <v>76000</v>
      </c>
      <c r="G13" s="27">
        <f t="shared" si="3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0</v>
      </c>
      <c r="D14" s="17">
        <f>Novembre!B4</f>
        <v>0</v>
      </c>
      <c r="E14" s="26"/>
      <c r="F14" s="18">
        <f t="shared" si="2"/>
        <v>59000</v>
      </c>
      <c r="G14" s="27">
        <f t="shared" si="3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0</v>
      </c>
      <c r="D15" s="17">
        <f>'Décembre'!B4</f>
        <v>0</v>
      </c>
      <c r="E15" s="26"/>
      <c r="F15" s="18">
        <f t="shared" si="2"/>
        <v>29000</v>
      </c>
      <c r="G15" s="27">
        <f t="shared" si="3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0</v>
      </c>
      <c r="D16" s="33">
        <f t="shared" si="4"/>
        <v>8080</v>
      </c>
      <c r="E16" s="33"/>
      <c r="F16" s="33">
        <f>SUM(F4:F15)</f>
        <v>439000</v>
      </c>
      <c r="G16" s="34">
        <f t="shared" si="3"/>
        <v>0.01840546697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/>
      <c r="D21" s="48">
        <f>Janvier!C4</f>
        <v>0</v>
      </c>
      <c r="E21" s="49">
        <v>0.0</v>
      </c>
      <c r="F21" s="50" t="str">
        <f t="shared" ref="F21:F33" si="5">D21/E21</f>
        <v>#DIV/0!</v>
      </c>
      <c r="G21" s="47"/>
      <c r="H21" s="48">
        <f>Janvier!D4</f>
        <v>0</v>
      </c>
      <c r="I21" s="49">
        <v>0.0</v>
      </c>
      <c r="J21" s="50" t="str">
        <f t="shared" ref="J21:J33" si="6">H21/I21</f>
        <v>#DIV/0!</v>
      </c>
      <c r="K21" s="47"/>
      <c r="L21" s="48">
        <f>Janvier!E4</f>
        <v>0</v>
      </c>
      <c r="M21" s="49">
        <v>0.0</v>
      </c>
      <c r="N21" s="50" t="str">
        <f t="shared" ref="N21:N33" si="7">L21/M21</f>
        <v>#DIV/0!</v>
      </c>
      <c r="O21" s="47"/>
      <c r="P21" s="48">
        <f>Janvier!F4</f>
        <v>0</v>
      </c>
      <c r="Q21" s="49">
        <v>0.0</v>
      </c>
      <c r="R21" s="50" t="str">
        <f t="shared" ref="R21:R33" si="8">P21/Q21</f>
        <v>#DIV/0!</v>
      </c>
      <c r="S21" s="47"/>
      <c r="T21" s="48">
        <f>Janvier!G4</f>
        <v>0</v>
      </c>
      <c r="U21" s="49"/>
      <c r="V21" s="50" t="str">
        <f t="shared" ref="V21:V33" si="9">T21/U21</f>
        <v>#DIV/0!</v>
      </c>
      <c r="W21" s="47"/>
      <c r="X21" s="48" t="str">
        <f>Janvier!K4</f>
        <v/>
      </c>
      <c r="Y21" s="49"/>
      <c r="Z21" s="50" t="str">
        <f t="shared" ref="Z21:Z33" si="10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/>
      <c r="D22" s="48">
        <f>'Février'!C4</f>
        <v>1195</v>
      </c>
      <c r="E22" s="49">
        <v>0.0</v>
      </c>
      <c r="F22" s="50" t="str">
        <f t="shared" si="5"/>
        <v>#DIV/0!</v>
      </c>
      <c r="G22" s="48"/>
      <c r="H22" s="48">
        <f>'Février'!D4</f>
        <v>0</v>
      </c>
      <c r="I22" s="49">
        <v>0.0</v>
      </c>
      <c r="J22" s="50" t="str">
        <f t="shared" si="6"/>
        <v>#DIV/0!</v>
      </c>
      <c r="K22" s="48"/>
      <c r="L22" s="48">
        <f>'Février'!E4</f>
        <v>0</v>
      </c>
      <c r="M22" s="49">
        <v>0.0</v>
      </c>
      <c r="N22" s="50" t="str">
        <f t="shared" si="7"/>
        <v>#DIV/0!</v>
      </c>
      <c r="O22" s="48"/>
      <c r="P22" s="48">
        <f>'Février'!F4</f>
        <v>0</v>
      </c>
      <c r="Q22" s="49">
        <v>0.0</v>
      </c>
      <c r="R22" s="50" t="str">
        <f t="shared" si="8"/>
        <v>#DIV/0!</v>
      </c>
      <c r="S22" s="48"/>
      <c r="T22" s="48">
        <f>'Février'!G4</f>
        <v>0</v>
      </c>
      <c r="U22" s="49"/>
      <c r="V22" s="50" t="str">
        <f t="shared" si="9"/>
        <v>#DIV/0!</v>
      </c>
      <c r="W22" s="48"/>
      <c r="X22" s="48" t="str">
        <f>'Février'!K4</f>
        <v/>
      </c>
      <c r="Y22" s="49"/>
      <c r="Z22" s="50" t="str">
        <f t="shared" si="10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/>
      <c r="D23" s="48">
        <f>Mars!C4</f>
        <v>1195</v>
      </c>
      <c r="E23" s="49">
        <v>0.0</v>
      </c>
      <c r="F23" s="50" t="str">
        <f t="shared" si="5"/>
        <v>#DIV/0!</v>
      </c>
      <c r="G23" s="48"/>
      <c r="H23" s="48">
        <f>Mars!D4</f>
        <v>0</v>
      </c>
      <c r="I23" s="49">
        <v>0.0</v>
      </c>
      <c r="J23" s="50" t="str">
        <f t="shared" si="6"/>
        <v>#DIV/0!</v>
      </c>
      <c r="K23" s="48"/>
      <c r="L23" s="48">
        <f>Mars!E4</f>
        <v>1435</v>
      </c>
      <c r="M23" s="49">
        <v>0.0</v>
      </c>
      <c r="N23" s="50" t="str">
        <f t="shared" si="7"/>
        <v>#DIV/0!</v>
      </c>
      <c r="O23" s="48"/>
      <c r="P23" s="48">
        <f>Mars!F4</f>
        <v>410</v>
      </c>
      <c r="Q23" s="49">
        <v>0.0</v>
      </c>
      <c r="R23" s="50" t="str">
        <f t="shared" si="8"/>
        <v>#DIV/0!</v>
      </c>
      <c r="S23" s="48"/>
      <c r="T23" s="48">
        <f>Mars!G4</f>
        <v>0</v>
      </c>
      <c r="U23" s="49"/>
      <c r="V23" s="50" t="str">
        <f t="shared" si="9"/>
        <v>#DIV/0!</v>
      </c>
      <c r="W23" s="48"/>
      <c r="X23" s="48" t="str">
        <f>Mars!K4</f>
        <v/>
      </c>
      <c r="Y23" s="49"/>
      <c r="Z23" s="50" t="str">
        <f t="shared" si="10"/>
        <v>#DIV/0!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/>
      <c r="D24" s="48">
        <f>Avril!C4</f>
        <v>3685</v>
      </c>
      <c r="E24" s="49">
        <f>30000*0.5</f>
        <v>15000</v>
      </c>
      <c r="F24" s="50">
        <f t="shared" si="5"/>
        <v>0.2456666667</v>
      </c>
      <c r="G24" s="48"/>
      <c r="H24" s="48">
        <f>Avril!D4</f>
        <v>0</v>
      </c>
      <c r="I24" s="49">
        <f>2000*0.5</f>
        <v>1000</v>
      </c>
      <c r="J24" s="50">
        <f t="shared" si="6"/>
        <v>0</v>
      </c>
      <c r="K24" s="48"/>
      <c r="L24" s="48">
        <f>Avril!E4</f>
        <v>0</v>
      </c>
      <c r="M24" s="49">
        <f>10000*0.5</f>
        <v>5000</v>
      </c>
      <c r="N24" s="50">
        <f t="shared" si="7"/>
        <v>0</v>
      </c>
      <c r="O24" s="48"/>
      <c r="P24" s="48">
        <f>Avril!F4</f>
        <v>160</v>
      </c>
      <c r="Q24" s="49">
        <v>1500.0</v>
      </c>
      <c r="R24" s="50">
        <f t="shared" si="8"/>
        <v>0.1066666667</v>
      </c>
      <c r="S24" s="48"/>
      <c r="T24" s="48">
        <f>Avril!G4</f>
        <v>0</v>
      </c>
      <c r="U24" s="49"/>
      <c r="V24" s="50" t="str">
        <f t="shared" si="9"/>
        <v>#DIV/0!</v>
      </c>
      <c r="W24" s="48"/>
      <c r="X24" s="48" t="str">
        <f>Avril!K4</f>
        <v/>
      </c>
      <c r="Y24" s="49"/>
      <c r="Z24" s="50" t="str">
        <f t="shared" si="10"/>
        <v>#DIV/0!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/>
      <c r="D25" s="48">
        <f>Mai!C4</f>
        <v>0</v>
      </c>
      <c r="E25" s="49">
        <f>40000*0.75</f>
        <v>30000</v>
      </c>
      <c r="F25" s="50">
        <f t="shared" si="5"/>
        <v>0</v>
      </c>
      <c r="G25" s="48"/>
      <c r="H25" s="48">
        <f>Mai!D4</f>
        <v>0</v>
      </c>
      <c r="I25" s="49">
        <v>2000.0</v>
      </c>
      <c r="J25" s="50">
        <f t="shared" si="6"/>
        <v>0</v>
      </c>
      <c r="K25" s="48"/>
      <c r="L25" s="48">
        <f>Mai!E4</f>
        <v>0</v>
      </c>
      <c r="M25" s="49">
        <f>10000*0.75</f>
        <v>7500</v>
      </c>
      <c r="N25" s="50">
        <f t="shared" si="7"/>
        <v>0</v>
      </c>
      <c r="O25" s="48"/>
      <c r="P25" s="48">
        <f>Mai!F4</f>
        <v>0</v>
      </c>
      <c r="Q25" s="49">
        <v>2000.0</v>
      </c>
      <c r="R25" s="50">
        <f t="shared" si="8"/>
        <v>0</v>
      </c>
      <c r="S25" s="48"/>
      <c r="T25" s="48">
        <f>Mai!G4</f>
        <v>0</v>
      </c>
      <c r="U25" s="49"/>
      <c r="V25" s="50" t="str">
        <f t="shared" si="9"/>
        <v>#DIV/0!</v>
      </c>
      <c r="W25" s="48"/>
      <c r="X25" s="48" t="str">
        <f>Mai!K4</f>
        <v/>
      </c>
      <c r="Y25" s="49"/>
      <c r="Z25" s="50" t="str">
        <f t="shared" si="10"/>
        <v>#DIV/0!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/>
      <c r="D26" s="48">
        <f>Juin!C4</f>
        <v>0</v>
      </c>
      <c r="E26" s="49">
        <v>40000.0</v>
      </c>
      <c r="F26" s="50">
        <f t="shared" si="5"/>
        <v>0</v>
      </c>
      <c r="G26" s="48"/>
      <c r="H26" s="48">
        <f>Juin!D4</f>
        <v>0</v>
      </c>
      <c r="I26" s="49">
        <v>2000.0</v>
      </c>
      <c r="J26" s="50">
        <f t="shared" si="6"/>
        <v>0</v>
      </c>
      <c r="K26" s="48"/>
      <c r="L26" s="48">
        <f>Juin!E4</f>
        <v>0</v>
      </c>
      <c r="M26" s="49">
        <v>5000.0</v>
      </c>
      <c r="N26" s="50">
        <f t="shared" si="7"/>
        <v>0</v>
      </c>
      <c r="O26" s="48"/>
      <c r="P26" s="48">
        <f>Juin!F4</f>
        <v>0</v>
      </c>
      <c r="Q26" s="49">
        <v>2000.0</v>
      </c>
      <c r="R26" s="50">
        <f t="shared" si="8"/>
        <v>0</v>
      </c>
      <c r="S26" s="48"/>
      <c r="T26" s="48">
        <f>Juin!G4</f>
        <v>0</v>
      </c>
      <c r="U26" s="49"/>
      <c r="V26" s="50" t="str">
        <f t="shared" si="9"/>
        <v>#DIV/0!</v>
      </c>
      <c r="W26" s="48"/>
      <c r="X26" s="48" t="str">
        <f>Juin!K4</f>
        <v/>
      </c>
      <c r="Y26" s="49"/>
      <c r="Z26" s="50" t="str">
        <f t="shared" si="10"/>
        <v>#DIV/0!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/>
      <c r="D27" s="48">
        <f>Juillet!C4</f>
        <v>0</v>
      </c>
      <c r="E27" s="49">
        <v>25000.0</v>
      </c>
      <c r="F27" s="50">
        <f t="shared" si="5"/>
        <v>0</v>
      </c>
      <c r="G27" s="48"/>
      <c r="H27" s="48">
        <f>Juillet!D4</f>
        <v>0</v>
      </c>
      <c r="I27" s="49">
        <v>2000.0</v>
      </c>
      <c r="J27" s="50">
        <f t="shared" si="6"/>
        <v>0</v>
      </c>
      <c r="K27" s="48"/>
      <c r="L27" s="48">
        <f>Juillet!E4</f>
        <v>0</v>
      </c>
      <c r="M27" s="49">
        <v>3000.0</v>
      </c>
      <c r="N27" s="50">
        <f t="shared" si="7"/>
        <v>0</v>
      </c>
      <c r="O27" s="48"/>
      <c r="P27" s="48">
        <f>Juillet!F4</f>
        <v>0</v>
      </c>
      <c r="Q27" s="49">
        <v>2000.0</v>
      </c>
      <c r="R27" s="50">
        <f t="shared" si="8"/>
        <v>0</v>
      </c>
      <c r="S27" s="48"/>
      <c r="T27" s="48">
        <f>Juillet!G4</f>
        <v>0</v>
      </c>
      <c r="U27" s="49"/>
      <c r="V27" s="50" t="str">
        <f t="shared" si="9"/>
        <v>#DIV/0!</v>
      </c>
      <c r="W27" s="48"/>
      <c r="X27" s="48" t="str">
        <f>Juillet!K4</f>
        <v/>
      </c>
      <c r="Y27" s="49"/>
      <c r="Z27" s="50" t="str">
        <f t="shared" si="10"/>
        <v>#DIV/0!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/>
      <c r="D28" s="48">
        <f>'Août'!C4</f>
        <v>0</v>
      </c>
      <c r="E28" s="49">
        <v>40000.0</v>
      </c>
      <c r="F28" s="50">
        <f t="shared" si="5"/>
        <v>0</v>
      </c>
      <c r="G28" s="48"/>
      <c r="H28" s="48">
        <f>'Août'!D4</f>
        <v>0</v>
      </c>
      <c r="I28" s="49">
        <v>2000.0</v>
      </c>
      <c r="J28" s="50">
        <f t="shared" si="6"/>
        <v>0</v>
      </c>
      <c r="K28" s="48"/>
      <c r="L28" s="48">
        <f>'Août'!E4</f>
        <v>0</v>
      </c>
      <c r="M28" s="49">
        <v>8000.0</v>
      </c>
      <c r="N28" s="50">
        <f t="shared" si="7"/>
        <v>0</v>
      </c>
      <c r="O28" s="48"/>
      <c r="P28" s="48">
        <f>'Août'!F4</f>
        <v>0</v>
      </c>
      <c r="Q28" s="49">
        <v>4000.0</v>
      </c>
      <c r="R28" s="50">
        <f t="shared" si="8"/>
        <v>0</v>
      </c>
      <c r="S28" s="48"/>
      <c r="T28" s="48">
        <f>'Août'!G4</f>
        <v>0</v>
      </c>
      <c r="U28" s="49"/>
      <c r="V28" s="50" t="str">
        <f t="shared" si="9"/>
        <v>#DIV/0!</v>
      </c>
      <c r="W28" s="48"/>
      <c r="X28" s="48" t="str">
        <f>'Août'!K4</f>
        <v/>
      </c>
      <c r="Y28" s="49"/>
      <c r="Z28" s="50" t="str">
        <f t="shared" si="10"/>
        <v>#DIV/0!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/>
      <c r="D29" s="48">
        <f>Septembre!C4</f>
        <v>0</v>
      </c>
      <c r="E29" s="49">
        <v>60000.0</v>
      </c>
      <c r="F29" s="50">
        <f t="shared" si="5"/>
        <v>0</v>
      </c>
      <c r="G29" s="48"/>
      <c r="H29" s="48">
        <f>Septembre!D4</f>
        <v>0</v>
      </c>
      <c r="I29" s="49">
        <v>2000.0</v>
      </c>
      <c r="J29" s="50">
        <f t="shared" si="6"/>
        <v>0</v>
      </c>
      <c r="K29" s="48"/>
      <c r="L29" s="48">
        <f>Septembre!E4</f>
        <v>0</v>
      </c>
      <c r="M29" s="49">
        <v>10000.0</v>
      </c>
      <c r="N29" s="50">
        <f t="shared" si="7"/>
        <v>0</v>
      </c>
      <c r="O29" s="48"/>
      <c r="P29" s="48">
        <f>Septembre!F4</f>
        <v>0</v>
      </c>
      <c r="Q29" s="49">
        <v>4000.0</v>
      </c>
      <c r="R29" s="50">
        <f t="shared" si="8"/>
        <v>0</v>
      </c>
      <c r="S29" s="48"/>
      <c r="T29" s="48">
        <f>Septembre!G4</f>
        <v>0</v>
      </c>
      <c r="U29" s="49"/>
      <c r="V29" s="50" t="str">
        <f t="shared" si="9"/>
        <v>#DIV/0!</v>
      </c>
      <c r="W29" s="48"/>
      <c r="X29" s="48" t="str">
        <f>Septembre!K4</f>
        <v/>
      </c>
      <c r="Y29" s="49"/>
      <c r="Z29" s="50" t="str">
        <f t="shared" si="10"/>
        <v>#DIV/0!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/>
      <c r="D30" s="48">
        <f>Octobre!C4</f>
        <v>0</v>
      </c>
      <c r="E30" s="49">
        <v>60000.0</v>
      </c>
      <c r="F30" s="50">
        <f t="shared" si="5"/>
        <v>0</v>
      </c>
      <c r="G30" s="48"/>
      <c r="H30" s="48">
        <f>Octobre!D4</f>
        <v>0</v>
      </c>
      <c r="I30" s="49">
        <v>2000.0</v>
      </c>
      <c r="J30" s="50">
        <f t="shared" si="6"/>
        <v>0</v>
      </c>
      <c r="K30" s="48"/>
      <c r="L30" s="48">
        <f>Octobre!E4</f>
        <v>0</v>
      </c>
      <c r="M30" s="49">
        <v>10000.0</v>
      </c>
      <c r="N30" s="50">
        <f t="shared" si="7"/>
        <v>0</v>
      </c>
      <c r="O30" s="48"/>
      <c r="P30" s="48">
        <f>Octobre!F4</f>
        <v>0</v>
      </c>
      <c r="Q30" s="49">
        <v>4000.0</v>
      </c>
      <c r="R30" s="50">
        <f t="shared" si="8"/>
        <v>0</v>
      </c>
      <c r="S30" s="48"/>
      <c r="T30" s="48">
        <f>Octobre!G4</f>
        <v>0</v>
      </c>
      <c r="U30" s="49"/>
      <c r="V30" s="50" t="str">
        <f t="shared" si="9"/>
        <v>#DIV/0!</v>
      </c>
      <c r="W30" s="48"/>
      <c r="X30" s="48" t="str">
        <f>Octobre!K4</f>
        <v/>
      </c>
      <c r="Y30" s="49"/>
      <c r="Z30" s="50" t="str">
        <f t="shared" si="10"/>
        <v>#DIV/0!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/>
      <c r="D31" s="48">
        <f>Novembre!C4</f>
        <v>0</v>
      </c>
      <c r="E31" s="49">
        <v>45000.0</v>
      </c>
      <c r="F31" s="50">
        <f t="shared" si="5"/>
        <v>0</v>
      </c>
      <c r="G31" s="48"/>
      <c r="H31" s="48">
        <f>Novembre!D4</f>
        <v>0</v>
      </c>
      <c r="I31" s="49">
        <v>2000.0</v>
      </c>
      <c r="J31" s="50">
        <f t="shared" si="6"/>
        <v>0</v>
      </c>
      <c r="K31" s="48"/>
      <c r="L31" s="48">
        <f>Novembre!E4</f>
        <v>0</v>
      </c>
      <c r="M31" s="49">
        <v>8000.0</v>
      </c>
      <c r="N31" s="50">
        <f t="shared" si="7"/>
        <v>0</v>
      </c>
      <c r="O31" s="48"/>
      <c r="P31" s="48">
        <f>Novembre!F4</f>
        <v>0</v>
      </c>
      <c r="Q31" s="49">
        <v>4000.0</v>
      </c>
      <c r="R31" s="50">
        <f t="shared" si="8"/>
        <v>0</v>
      </c>
      <c r="S31" s="48"/>
      <c r="T31" s="48">
        <f>Novembre!G4</f>
        <v>0</v>
      </c>
      <c r="U31" s="49"/>
      <c r="V31" s="50" t="str">
        <f t="shared" si="9"/>
        <v>#DIV/0!</v>
      </c>
      <c r="W31" s="48"/>
      <c r="X31" s="48" t="str">
        <f>Novembre!K4</f>
        <v/>
      </c>
      <c r="Y31" s="49"/>
      <c r="Z31" s="50" t="str">
        <f t="shared" si="10"/>
        <v>#DIV/0!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/>
      <c r="D32" s="48">
        <f>'Décembre'!C4</f>
        <v>0</v>
      </c>
      <c r="E32" s="49">
        <v>20000.0</v>
      </c>
      <c r="F32" s="50">
        <f t="shared" si="5"/>
        <v>0</v>
      </c>
      <c r="G32" s="48"/>
      <c r="H32" s="51">
        <v>0.0</v>
      </c>
      <c r="I32" s="49">
        <v>2000.0</v>
      </c>
      <c r="J32" s="50">
        <f t="shared" si="6"/>
        <v>0</v>
      </c>
      <c r="K32" s="48"/>
      <c r="L32" s="48">
        <f>'Décembre'!E4</f>
        <v>0</v>
      </c>
      <c r="M32" s="49">
        <v>3000.0</v>
      </c>
      <c r="N32" s="50">
        <f t="shared" si="7"/>
        <v>0</v>
      </c>
      <c r="O32" s="48"/>
      <c r="P32" s="48">
        <f>'Décembre'!F4</f>
        <v>0</v>
      </c>
      <c r="Q32" s="49">
        <v>4000.0</v>
      </c>
      <c r="R32" s="50">
        <f t="shared" si="8"/>
        <v>0</v>
      </c>
      <c r="S32" s="48"/>
      <c r="T32" s="48">
        <f>'Décembre'!G4</f>
        <v>0</v>
      </c>
      <c r="U32" s="49"/>
      <c r="V32" s="50" t="str">
        <f t="shared" si="9"/>
        <v>#DIV/0!</v>
      </c>
      <c r="W32" s="48"/>
      <c r="X32" s="48" t="str">
        <f>'Décembre'!K4</f>
        <v/>
      </c>
      <c r="Y32" s="49"/>
      <c r="Z32" s="50" t="str">
        <f t="shared" si="10"/>
        <v>#DIV/0!</v>
      </c>
      <c r="AA32" s="4"/>
      <c r="AB32" s="4"/>
      <c r="AC32" s="4"/>
      <c r="AD32" s="4"/>
      <c r="AE32" s="4"/>
      <c r="AF32" s="4"/>
      <c r="AG32" s="4"/>
    </row>
    <row r="33">
      <c r="A33" s="52" t="s">
        <v>1</v>
      </c>
      <c r="B33" s="23"/>
      <c r="C33" s="53">
        <f t="shared" ref="C33:E33" si="11">SUM(C21:C32)</f>
        <v>0</v>
      </c>
      <c r="D33" s="53">
        <f t="shared" si="11"/>
        <v>6075</v>
      </c>
      <c r="E33" s="53">
        <f t="shared" si="11"/>
        <v>335000</v>
      </c>
      <c r="F33" s="54">
        <f t="shared" si="5"/>
        <v>0.01813432836</v>
      </c>
      <c r="G33" s="53">
        <f t="shared" ref="G33:I33" si="12">SUM(G21:G32)</f>
        <v>0</v>
      </c>
      <c r="H33" s="53">
        <f t="shared" si="12"/>
        <v>0</v>
      </c>
      <c r="I33" s="53">
        <f t="shared" si="12"/>
        <v>17000</v>
      </c>
      <c r="J33" s="54">
        <f t="shared" si="6"/>
        <v>0</v>
      </c>
      <c r="K33" s="53">
        <f t="shared" ref="K33:M33" si="13">SUM(K21:K32)</f>
        <v>0</v>
      </c>
      <c r="L33" s="53">
        <f t="shared" si="13"/>
        <v>1435</v>
      </c>
      <c r="M33" s="53">
        <f t="shared" si="13"/>
        <v>59500</v>
      </c>
      <c r="N33" s="54">
        <f t="shared" si="7"/>
        <v>0.02411764706</v>
      </c>
      <c r="O33" s="53">
        <f t="shared" ref="O33:Q33" si="14">SUM(O21:O32)</f>
        <v>0</v>
      </c>
      <c r="P33" s="53">
        <f t="shared" si="14"/>
        <v>570</v>
      </c>
      <c r="Q33" s="53">
        <f t="shared" si="14"/>
        <v>27500</v>
      </c>
      <c r="R33" s="54">
        <f t="shared" si="8"/>
        <v>0.02072727273</v>
      </c>
      <c r="S33" s="53">
        <f t="shared" ref="S33:U33" si="15">SUM(S21:S32)</f>
        <v>0</v>
      </c>
      <c r="T33" s="53">
        <f t="shared" si="15"/>
        <v>0</v>
      </c>
      <c r="U33" s="53">
        <f t="shared" si="15"/>
        <v>0</v>
      </c>
      <c r="V33" s="54" t="str">
        <f t="shared" si="9"/>
        <v>#DIV/0!</v>
      </c>
      <c r="W33" s="53">
        <f t="shared" ref="W33:Y33" si="16">SUM(W21:W32)</f>
        <v>0</v>
      </c>
      <c r="X33" s="53">
        <f t="shared" si="16"/>
        <v>0</v>
      </c>
      <c r="Y33" s="53">
        <f t="shared" si="16"/>
        <v>0</v>
      </c>
      <c r="Z33" s="54" t="str">
        <f t="shared" si="10"/>
        <v>#DIV/0!</v>
      </c>
      <c r="AA33" s="55"/>
      <c r="AB33" s="55"/>
      <c r="AC33" s="55"/>
      <c r="AD33" s="55"/>
      <c r="AE33" s="55"/>
      <c r="AF33" s="55"/>
      <c r="AG33" s="5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6"/>
      <c r="G36" s="57"/>
      <c r="H36" s="5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8"/>
      <c r="F37" s="56"/>
      <c r="G37" s="57"/>
      <c r="H37" s="5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8"/>
      <c r="F38" s="56"/>
      <c r="G38" s="57"/>
      <c r="H38" s="5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8"/>
      <c r="F39" s="56"/>
      <c r="G39" s="57"/>
      <c r="H39" s="5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8"/>
      <c r="F40" s="56"/>
      <c r="G40" s="57"/>
      <c r="H40" s="5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8"/>
      <c r="F41" s="56"/>
      <c r="G41" s="57"/>
      <c r="H41" s="5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8"/>
      <c r="F42" s="56"/>
      <c r="G42" s="57"/>
      <c r="H42" s="5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8"/>
      <c r="F43" s="56"/>
      <c r="G43" s="57"/>
      <c r="H43" s="5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8"/>
      <c r="F44" s="56"/>
      <c r="G44" s="57"/>
      <c r="H44" s="5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8"/>
      <c r="F45" s="56"/>
      <c r="G45" s="57"/>
      <c r="H45" s="5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8"/>
      <c r="F46" s="56"/>
      <c r="G46" s="57"/>
      <c r="H46" s="5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8"/>
      <c r="F47" s="56"/>
      <c r="G47" s="57"/>
      <c r="H47" s="5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8"/>
      <c r="F48" s="56"/>
      <c r="G48" s="57"/>
      <c r="H48" s="5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59" t="s">
        <v>25</v>
      </c>
      <c r="B1" s="2"/>
      <c r="C1" s="2"/>
      <c r="D1" s="2"/>
      <c r="E1" s="2"/>
      <c r="F1" s="3"/>
      <c r="G1" s="60" t="s">
        <v>26</v>
      </c>
      <c r="H1" s="61"/>
      <c r="I1" s="6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3" t="s">
        <v>27</v>
      </c>
      <c r="B2" s="64" t="s">
        <v>28</v>
      </c>
      <c r="C2" s="64" t="s">
        <v>29</v>
      </c>
      <c r="D2" s="64" t="s">
        <v>30</v>
      </c>
      <c r="E2" s="65" t="s">
        <v>31</v>
      </c>
      <c r="F2" s="64" t="s">
        <v>32</v>
      </c>
      <c r="G2" s="23"/>
      <c r="H2" s="23"/>
      <c r="I2" s="6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6">
        <v>46086.0</v>
      </c>
      <c r="B3" s="67">
        <v>961.54</v>
      </c>
      <c r="C3" s="68"/>
      <c r="D3" s="69"/>
      <c r="E3" s="67"/>
      <c r="F3" s="68"/>
      <c r="G3" s="62"/>
      <c r="H3" s="62"/>
      <c r="I3" s="6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0">
        <v>46100.0</v>
      </c>
      <c r="B4" s="71">
        <v>1538.46</v>
      </c>
      <c r="C4" s="72"/>
      <c r="D4" s="73"/>
      <c r="E4" s="38"/>
      <c r="F4" s="73"/>
      <c r="G4" s="74" t="s">
        <v>33</v>
      </c>
      <c r="H4" s="75">
        <v>0.0</v>
      </c>
      <c r="I4" s="6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6"/>
      <c r="AA4" s="76"/>
      <c r="AB4" s="76"/>
    </row>
    <row r="5">
      <c r="A5" s="70">
        <v>46114.0</v>
      </c>
      <c r="B5" s="71">
        <v>1923.07</v>
      </c>
      <c r="C5" s="72"/>
      <c r="D5" s="72"/>
      <c r="E5" s="38"/>
      <c r="F5" s="73"/>
      <c r="G5" s="20"/>
      <c r="H5" s="20"/>
      <c r="I5" s="6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6"/>
      <c r="AA5" s="76"/>
      <c r="AB5" s="76"/>
    </row>
    <row r="6">
      <c r="A6" s="70">
        <v>46128.0</v>
      </c>
      <c r="B6" s="51">
        <v>1730.76</v>
      </c>
      <c r="C6" s="73"/>
      <c r="D6" s="73"/>
      <c r="E6" s="71">
        <v>192.31</v>
      </c>
      <c r="F6" s="73"/>
      <c r="G6" s="62"/>
      <c r="H6" s="62"/>
      <c r="I6" s="6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6"/>
      <c r="AA6" s="76"/>
      <c r="AB6" s="76"/>
    </row>
    <row r="7">
      <c r="A7" s="70">
        <v>46142.0</v>
      </c>
      <c r="B7" s="72">
        <v>1923.07</v>
      </c>
      <c r="C7" s="72">
        <v>1000.0</v>
      </c>
      <c r="D7" s="73"/>
      <c r="E7" s="77"/>
      <c r="F7" s="73"/>
      <c r="G7" s="78"/>
      <c r="H7" s="78"/>
      <c r="I7" s="7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0"/>
      <c r="B8" s="72"/>
      <c r="C8" s="73"/>
      <c r="D8" s="72"/>
      <c r="E8" s="38"/>
      <c r="F8" s="73"/>
      <c r="G8" s="79"/>
      <c r="H8" s="79"/>
      <c r="I8" s="7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0"/>
      <c r="B9" s="72"/>
      <c r="C9" s="72"/>
      <c r="D9" s="73"/>
      <c r="E9" s="38"/>
      <c r="F9" s="73"/>
      <c r="G9" s="80" t="s">
        <v>34</v>
      </c>
      <c r="H9" s="81">
        <f>Objectif!D16*0.05</f>
        <v>404</v>
      </c>
      <c r="I9" s="8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0"/>
      <c r="B10" s="72"/>
      <c r="C10" s="72"/>
      <c r="D10" s="73"/>
      <c r="E10" s="71"/>
      <c r="F10" s="73"/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0"/>
      <c r="B11" s="72"/>
      <c r="C11" s="73"/>
      <c r="D11" s="73"/>
      <c r="E11" s="38"/>
      <c r="F11" s="73"/>
      <c r="G11" s="83" t="s">
        <v>35</v>
      </c>
      <c r="H11" s="81">
        <f>H1+H9-C29+I18</f>
        <v>-596</v>
      </c>
      <c r="I11" s="8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0"/>
      <c r="B12" s="72"/>
      <c r="C12" s="72"/>
      <c r="D12" s="72"/>
      <c r="E12" s="48"/>
      <c r="F12" s="73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0"/>
      <c r="B13" s="72"/>
      <c r="C13" s="73"/>
      <c r="D13" s="73"/>
      <c r="E13" s="38"/>
      <c r="F13" s="73"/>
      <c r="G13" s="78"/>
      <c r="H13" s="78"/>
      <c r="I13" s="7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0"/>
      <c r="B14" s="72"/>
      <c r="C14" s="73"/>
      <c r="D14" s="72"/>
      <c r="E14" s="38"/>
      <c r="F14" s="73"/>
      <c r="G14" s="79"/>
      <c r="H14" s="79"/>
      <c r="I14" s="7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0"/>
      <c r="B15" s="72"/>
      <c r="C15" s="72"/>
      <c r="D15" s="73"/>
      <c r="E15" s="77"/>
      <c r="F15" s="73"/>
      <c r="G15" s="83" t="s">
        <v>36</v>
      </c>
      <c r="H15" s="84" t="s">
        <v>37</v>
      </c>
      <c r="I15" s="8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66"/>
      <c r="B16" s="72"/>
      <c r="C16" s="73"/>
      <c r="D16" s="72"/>
      <c r="E16" s="77"/>
      <c r="F16" s="73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66"/>
      <c r="B17" s="72"/>
      <c r="C17" s="72"/>
      <c r="D17" s="73"/>
      <c r="E17" s="77"/>
      <c r="F17" s="73"/>
      <c r="G17" s="85"/>
      <c r="H17" s="85"/>
      <c r="I17" s="8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66"/>
      <c r="B18" s="72"/>
      <c r="C18" s="73"/>
      <c r="D18" s="72"/>
      <c r="E18" s="77"/>
      <c r="F18" s="73"/>
      <c r="G18" s="86" t="s">
        <v>38</v>
      </c>
      <c r="H18" s="23"/>
      <c r="I18" s="87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66"/>
      <c r="B19" s="72"/>
      <c r="C19" s="72"/>
      <c r="D19" s="73"/>
      <c r="E19" s="38"/>
      <c r="F19" s="72"/>
      <c r="G19" s="88"/>
      <c r="I19" s="8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66"/>
      <c r="B20" s="72"/>
      <c r="C20" s="73"/>
      <c r="D20" s="73"/>
      <c r="E20" s="38"/>
      <c r="F20" s="73"/>
      <c r="G20" s="88"/>
      <c r="I20" s="8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6"/>
      <c r="B21" s="72"/>
      <c r="C21" s="72"/>
      <c r="D21" s="73"/>
      <c r="E21" s="38"/>
      <c r="F21" s="73"/>
      <c r="G21" s="88"/>
      <c r="I21" s="8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B22" s="72"/>
      <c r="C22" s="73"/>
      <c r="D22" s="73"/>
      <c r="E22" s="71"/>
      <c r="F22" s="73"/>
      <c r="G22" s="88"/>
      <c r="I22" s="8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B23" s="72"/>
      <c r="C23" s="73"/>
      <c r="D23" s="73"/>
      <c r="E23" s="38"/>
      <c r="F23" s="73"/>
      <c r="G23" s="88"/>
      <c r="I23" s="8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B24" s="72"/>
      <c r="C24" s="72"/>
      <c r="D24" s="73"/>
      <c r="E24" s="38"/>
      <c r="F24" s="73"/>
      <c r="G24" s="88"/>
      <c r="I24" s="8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B25" s="72"/>
      <c r="C25" s="73"/>
      <c r="D25" s="72"/>
      <c r="E25" s="38"/>
      <c r="F25" s="73"/>
      <c r="G25" s="88"/>
      <c r="I25" s="8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66"/>
      <c r="B26" s="72"/>
      <c r="C26" s="72"/>
      <c r="D26" s="73"/>
      <c r="E26" s="38"/>
      <c r="F26" s="73"/>
      <c r="G26" s="88"/>
      <c r="I26" s="8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9"/>
      <c r="B27" s="72"/>
      <c r="C27" s="73"/>
      <c r="D27" s="73"/>
      <c r="E27" s="38"/>
      <c r="F27" s="73"/>
      <c r="G27" s="88"/>
      <c r="I27" s="8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9"/>
      <c r="B28" s="72"/>
      <c r="C28" s="73"/>
      <c r="D28" s="73"/>
      <c r="E28" s="38"/>
      <c r="F28" s="73"/>
      <c r="G28" s="88"/>
      <c r="I28" s="8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0" t="s">
        <v>39</v>
      </c>
      <c r="B29" s="91"/>
      <c r="C29" s="91">
        <f t="shared" ref="C29:F29" si="1">SUM(C3:C28)</f>
        <v>1000</v>
      </c>
      <c r="D29" s="91">
        <f t="shared" si="1"/>
        <v>0</v>
      </c>
      <c r="E29" s="91">
        <f t="shared" si="1"/>
        <v>192.31</v>
      </c>
      <c r="F29" s="91">
        <f t="shared" si="1"/>
        <v>0</v>
      </c>
      <c r="G29" s="88"/>
      <c r="I29" s="8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8"/>
      <c r="C30" s="88"/>
      <c r="D30" s="88"/>
      <c r="E30" s="4"/>
      <c r="F30" s="4"/>
      <c r="G30" s="88"/>
      <c r="I30" s="8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8"/>
      <c r="C31" s="88"/>
      <c r="D31" s="88"/>
      <c r="F31" s="4"/>
      <c r="G31" s="88"/>
      <c r="I31" s="8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8"/>
      <c r="C32" s="88"/>
      <c r="D32" s="88"/>
      <c r="E32" s="4"/>
      <c r="F32" s="4"/>
      <c r="G32" s="4"/>
      <c r="I32" s="8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8"/>
      <c r="C33" s="88"/>
      <c r="D33" s="88"/>
      <c r="E33" s="4"/>
      <c r="F33" s="4"/>
      <c r="G33" s="4"/>
      <c r="I33" s="8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8"/>
      <c r="C34" s="88"/>
      <c r="D34" s="88"/>
      <c r="E34" s="4"/>
      <c r="F34" s="4"/>
      <c r="G34" s="4"/>
      <c r="I34" s="8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8"/>
      <c r="C35" s="88"/>
      <c r="D35" s="88"/>
      <c r="E35" s="4"/>
      <c r="F35" s="4"/>
      <c r="G35" s="4"/>
      <c r="I35" s="8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8"/>
      <c r="C36" s="88"/>
      <c r="D36" s="8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8"/>
      <c r="C37" s="88"/>
      <c r="D37" s="8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8"/>
      <c r="C38" s="88"/>
      <c r="D38" s="8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8"/>
      <c r="C39" s="88"/>
      <c r="D39" s="8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8"/>
      <c r="C40" s="88"/>
      <c r="D40" s="8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8"/>
      <c r="C41" s="88"/>
      <c r="D41" s="8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8"/>
      <c r="C42" s="88"/>
      <c r="D42" s="8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8"/>
      <c r="C43" s="88"/>
      <c r="D43" s="8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8"/>
      <c r="C44" s="88"/>
      <c r="D44" s="8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8"/>
      <c r="C45" s="88"/>
      <c r="D45" s="8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8"/>
      <c r="C46" s="88"/>
      <c r="D46" s="8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8"/>
      <c r="C47" s="88"/>
      <c r="D47" s="8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8"/>
      <c r="C48" s="88"/>
      <c r="D48" s="8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8"/>
      <c r="C49" s="88"/>
      <c r="D49" s="8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8"/>
      <c r="C50" s="88"/>
      <c r="D50" s="8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8"/>
      <c r="C51" s="88"/>
      <c r="D51" s="8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8"/>
      <c r="C52" s="88"/>
      <c r="D52" s="8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8"/>
      <c r="C53" s="88"/>
      <c r="D53" s="8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8"/>
      <c r="C54" s="88"/>
      <c r="D54" s="8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8"/>
      <c r="C55" s="88"/>
      <c r="D55" s="8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8"/>
      <c r="C56" s="88"/>
      <c r="D56" s="8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8"/>
      <c r="C57" s="88"/>
      <c r="D57" s="8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8"/>
      <c r="C58" s="88"/>
      <c r="D58" s="8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8"/>
      <c r="C59" s="88"/>
      <c r="D59" s="8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8"/>
      <c r="C60" s="88"/>
      <c r="D60" s="8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8"/>
      <c r="C61" s="88"/>
      <c r="D61" s="8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8"/>
      <c r="C62" s="88"/>
      <c r="D62" s="8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8"/>
      <c r="C63" s="88"/>
      <c r="D63" s="8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8"/>
      <c r="C64" s="88"/>
      <c r="D64" s="8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8"/>
      <c r="C65" s="88"/>
      <c r="D65" s="8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8"/>
      <c r="C66" s="88"/>
      <c r="D66" s="8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8"/>
      <c r="C67" s="88"/>
      <c r="D67" s="8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8"/>
      <c r="C68" s="88"/>
      <c r="D68" s="8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8"/>
      <c r="C69" s="88"/>
      <c r="D69" s="8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8"/>
      <c r="C70" s="88"/>
      <c r="D70" s="8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8"/>
      <c r="C71" s="88"/>
      <c r="D71" s="8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8"/>
      <c r="C72" s="88"/>
      <c r="D72" s="8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8"/>
      <c r="C73" s="88"/>
      <c r="D73" s="8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8"/>
      <c r="C74" s="88"/>
      <c r="D74" s="8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8"/>
      <c r="C75" s="88"/>
      <c r="D75" s="8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8"/>
      <c r="C76" s="88"/>
      <c r="D76" s="8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8"/>
      <c r="C77" s="88"/>
      <c r="D77" s="8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8"/>
      <c r="C78" s="88"/>
      <c r="D78" s="8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8"/>
      <c r="C79" s="88"/>
      <c r="D79" s="8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8"/>
      <c r="C80" s="88"/>
      <c r="D80" s="8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8"/>
      <c r="C81" s="88"/>
      <c r="D81" s="8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8"/>
      <c r="C82" s="88"/>
      <c r="D82" s="8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8"/>
      <c r="C83" s="88"/>
      <c r="D83" s="8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8"/>
      <c r="C84" s="88"/>
      <c r="D84" s="8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8"/>
      <c r="C85" s="88"/>
      <c r="D85" s="8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8"/>
      <c r="C86" s="88"/>
      <c r="D86" s="8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8"/>
      <c r="C87" s="88"/>
      <c r="D87" s="8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8"/>
      <c r="C88" s="88"/>
      <c r="D88" s="8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8"/>
      <c r="C89" s="88"/>
      <c r="D89" s="8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8"/>
      <c r="C90" s="88"/>
      <c r="D90" s="8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8"/>
      <c r="C91" s="88"/>
      <c r="D91" s="8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8"/>
      <c r="C92" s="88"/>
      <c r="D92" s="8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8"/>
      <c r="C93" s="88"/>
      <c r="D93" s="8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8"/>
      <c r="C94" s="88"/>
      <c r="D94" s="8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8"/>
      <c r="C95" s="88"/>
      <c r="D95" s="8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8"/>
      <c r="C96" s="88"/>
      <c r="D96" s="8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8"/>
      <c r="C97" s="88"/>
      <c r="D97" s="8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8"/>
      <c r="C98" s="88"/>
      <c r="D98" s="8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8"/>
      <c r="C99" s="88"/>
      <c r="D99" s="8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8"/>
      <c r="C100" s="88"/>
      <c r="D100" s="8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8"/>
      <c r="C101" s="88"/>
      <c r="D101" s="8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8"/>
      <c r="C102" s="88"/>
      <c r="D102" s="8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8"/>
      <c r="C103" s="88"/>
      <c r="D103" s="8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8"/>
      <c r="C104" s="88"/>
      <c r="D104" s="8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8"/>
      <c r="C105" s="88"/>
      <c r="D105" s="8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8"/>
      <c r="C106" s="88"/>
      <c r="D106" s="8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8"/>
      <c r="C107" s="88"/>
      <c r="D107" s="8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8"/>
      <c r="C108" s="88"/>
      <c r="D108" s="8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8"/>
      <c r="C109" s="88"/>
      <c r="D109" s="8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8"/>
      <c r="C110" s="88"/>
      <c r="D110" s="8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8"/>
      <c r="C111" s="88"/>
      <c r="D111" s="8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8"/>
      <c r="C112" s="88"/>
      <c r="D112" s="8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8"/>
      <c r="C113" s="88"/>
      <c r="D113" s="8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8"/>
      <c r="C114" s="88"/>
      <c r="D114" s="8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8"/>
      <c r="C115" s="88"/>
      <c r="D115" s="8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8"/>
      <c r="C116" s="88"/>
      <c r="D116" s="8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8"/>
      <c r="C117" s="88"/>
      <c r="D117" s="8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8"/>
      <c r="C118" s="88"/>
      <c r="D118" s="8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8"/>
      <c r="C119" s="88"/>
      <c r="D119" s="8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8"/>
      <c r="C120" s="88"/>
      <c r="D120" s="8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8"/>
      <c r="C121" s="88"/>
      <c r="D121" s="8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8"/>
      <c r="C122" s="88"/>
      <c r="D122" s="8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8"/>
      <c r="C123" s="88"/>
      <c r="D123" s="8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8"/>
      <c r="C124" s="88"/>
      <c r="D124" s="8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8"/>
      <c r="C125" s="88"/>
      <c r="D125" s="8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8"/>
      <c r="C126" s="88"/>
      <c r="D126" s="8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8"/>
      <c r="C127" s="88"/>
      <c r="D127" s="8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8"/>
      <c r="C128" s="88"/>
      <c r="D128" s="8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8"/>
      <c r="C129" s="88"/>
      <c r="D129" s="8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8"/>
      <c r="C130" s="88"/>
      <c r="D130" s="8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8"/>
      <c r="C131" s="88"/>
      <c r="D131" s="8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8"/>
      <c r="C132" s="88"/>
      <c r="D132" s="8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8"/>
      <c r="C133" s="88"/>
      <c r="D133" s="8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8"/>
      <c r="C134" s="88"/>
      <c r="D134" s="8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8"/>
      <c r="C135" s="88"/>
      <c r="D135" s="8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8"/>
      <c r="C136" s="88"/>
      <c r="D136" s="8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8"/>
      <c r="C137" s="88"/>
      <c r="D137" s="8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8"/>
      <c r="C138" s="88"/>
      <c r="D138" s="8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8"/>
      <c r="C139" s="88"/>
      <c r="D139" s="8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8"/>
      <c r="C140" s="88"/>
      <c r="D140" s="8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8"/>
      <c r="C141" s="88"/>
      <c r="D141" s="8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8"/>
      <c r="C142" s="88"/>
      <c r="D142" s="8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8"/>
      <c r="C143" s="88"/>
      <c r="D143" s="8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8"/>
      <c r="C144" s="88"/>
      <c r="D144" s="8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8"/>
      <c r="C145" s="88"/>
      <c r="D145" s="8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8"/>
      <c r="C146" s="88"/>
      <c r="D146" s="8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8"/>
      <c r="C147" s="88"/>
      <c r="D147" s="8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8"/>
      <c r="C148" s="88"/>
      <c r="D148" s="8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8"/>
      <c r="C149" s="88"/>
      <c r="D149" s="8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8"/>
      <c r="C150" s="88"/>
      <c r="D150" s="8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8"/>
      <c r="C151" s="88"/>
      <c r="D151" s="8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8"/>
      <c r="C152" s="88"/>
      <c r="D152" s="8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8"/>
      <c r="C153" s="88"/>
      <c r="D153" s="8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8"/>
      <c r="C154" s="88"/>
      <c r="D154" s="8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8"/>
      <c r="C155" s="88"/>
      <c r="D155" s="8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8"/>
      <c r="C156" s="88"/>
      <c r="D156" s="8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8"/>
      <c r="C157" s="88"/>
      <c r="D157" s="8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8"/>
      <c r="C158" s="88"/>
      <c r="D158" s="8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8"/>
      <c r="C159" s="88"/>
      <c r="D159" s="8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8"/>
      <c r="C160" s="88"/>
      <c r="D160" s="8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8"/>
      <c r="C161" s="88"/>
      <c r="D161" s="8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8"/>
      <c r="C162" s="88"/>
      <c r="D162" s="8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8"/>
      <c r="C163" s="88"/>
      <c r="D163" s="8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8"/>
      <c r="C164" s="88"/>
      <c r="D164" s="8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8"/>
      <c r="C165" s="88"/>
      <c r="D165" s="8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8"/>
      <c r="C166" s="88"/>
      <c r="D166" s="8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8"/>
      <c r="C167" s="88"/>
      <c r="D167" s="8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8"/>
      <c r="C168" s="88"/>
      <c r="D168" s="8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8"/>
      <c r="C169" s="88"/>
      <c r="D169" s="8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8"/>
      <c r="C170" s="88"/>
      <c r="D170" s="8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8"/>
      <c r="C171" s="88"/>
      <c r="D171" s="8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8"/>
      <c r="C172" s="88"/>
      <c r="D172" s="8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8"/>
      <c r="C173" s="88"/>
      <c r="D173" s="8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8"/>
      <c r="C174" s="88"/>
      <c r="D174" s="8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8"/>
      <c r="C175" s="88"/>
      <c r="D175" s="8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8"/>
      <c r="C176" s="88"/>
      <c r="D176" s="8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8"/>
      <c r="C177" s="88"/>
      <c r="D177" s="8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8"/>
      <c r="C178" s="88"/>
      <c r="D178" s="8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8"/>
      <c r="C179" s="88"/>
      <c r="D179" s="8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8"/>
      <c r="C180" s="88"/>
      <c r="D180" s="8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8"/>
      <c r="C181" s="88"/>
      <c r="D181" s="8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8"/>
      <c r="C182" s="88"/>
      <c r="D182" s="8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8"/>
      <c r="C183" s="88"/>
      <c r="D183" s="8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8"/>
      <c r="C184" s="88"/>
      <c r="D184" s="8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8"/>
      <c r="C185" s="88"/>
      <c r="D185" s="8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8"/>
      <c r="C186" s="88"/>
      <c r="D186" s="8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8"/>
      <c r="C187" s="88"/>
      <c r="D187" s="8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8"/>
      <c r="C188" s="88"/>
      <c r="D188" s="8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8"/>
      <c r="C189" s="88"/>
      <c r="D189" s="8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8"/>
      <c r="C190" s="88"/>
      <c r="D190" s="8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8"/>
      <c r="C191" s="88"/>
      <c r="D191" s="8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8"/>
      <c r="C192" s="88"/>
      <c r="D192" s="8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8"/>
      <c r="C193" s="88"/>
      <c r="D193" s="8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8"/>
      <c r="C194" s="88"/>
      <c r="D194" s="8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8"/>
      <c r="C195" s="88"/>
      <c r="D195" s="8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8"/>
      <c r="C196" s="88"/>
      <c r="D196" s="8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8"/>
      <c r="C197" s="88"/>
      <c r="D197" s="8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8"/>
      <c r="C198" s="88"/>
      <c r="D198" s="8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8"/>
      <c r="C199" s="88"/>
      <c r="D199" s="8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8"/>
      <c r="C200" s="88"/>
      <c r="D200" s="8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8"/>
      <c r="C201" s="88"/>
      <c r="D201" s="8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8"/>
      <c r="C202" s="88"/>
      <c r="D202" s="8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8"/>
      <c r="C203" s="88"/>
      <c r="D203" s="8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8"/>
      <c r="C204" s="88"/>
      <c r="D204" s="8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8"/>
      <c r="C205" s="88"/>
      <c r="D205" s="8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8"/>
      <c r="C206" s="88"/>
      <c r="D206" s="8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8"/>
      <c r="C207" s="88"/>
      <c r="D207" s="8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8"/>
      <c r="C208" s="88"/>
      <c r="D208" s="8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8"/>
      <c r="C209" s="88"/>
      <c r="D209" s="8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8"/>
      <c r="C210" s="88"/>
      <c r="D210" s="8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8"/>
      <c r="C211" s="88"/>
      <c r="D211" s="8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8"/>
      <c r="C212" s="88"/>
      <c r="D212" s="8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8"/>
      <c r="C213" s="88"/>
      <c r="D213" s="8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8"/>
      <c r="C214" s="88"/>
      <c r="D214" s="8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8"/>
      <c r="C215" s="88"/>
      <c r="D215" s="8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8"/>
      <c r="C216" s="88"/>
      <c r="D216" s="8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8"/>
      <c r="C217" s="88"/>
      <c r="D217" s="8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8"/>
      <c r="C218" s="88"/>
      <c r="D218" s="8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8"/>
      <c r="C219" s="88"/>
      <c r="D219" s="8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8"/>
      <c r="C220" s="88"/>
      <c r="D220" s="8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8"/>
      <c r="C221" s="88"/>
      <c r="D221" s="8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8"/>
      <c r="C222" s="88"/>
      <c r="D222" s="8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8"/>
      <c r="C223" s="88"/>
      <c r="D223" s="8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8"/>
      <c r="C224" s="88"/>
      <c r="D224" s="8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8"/>
      <c r="C225" s="88"/>
      <c r="D225" s="8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8"/>
      <c r="C226" s="88"/>
      <c r="D226" s="8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8"/>
      <c r="C227" s="88"/>
      <c r="D227" s="8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8"/>
      <c r="C228" s="88"/>
      <c r="D228" s="8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8"/>
      <c r="C229" s="88"/>
      <c r="D229" s="8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8"/>
      <c r="C230" s="88"/>
      <c r="D230" s="8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8"/>
      <c r="C231" s="88"/>
      <c r="D231" s="8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8"/>
      <c r="C232" s="88"/>
      <c r="D232" s="8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8"/>
      <c r="C233" s="88"/>
      <c r="D233" s="8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8"/>
      <c r="C234" s="88"/>
      <c r="D234" s="8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8"/>
      <c r="C235" s="88"/>
      <c r="D235" s="8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8"/>
      <c r="C236" s="88"/>
      <c r="D236" s="8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8"/>
      <c r="C237" s="88"/>
      <c r="D237" s="8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8"/>
      <c r="C238" s="88"/>
      <c r="D238" s="8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8"/>
      <c r="C239" s="88"/>
      <c r="D239" s="8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8"/>
      <c r="C240" s="88"/>
      <c r="D240" s="8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8"/>
      <c r="C241" s="88"/>
      <c r="D241" s="8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8"/>
      <c r="C242" s="88"/>
      <c r="D242" s="8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8"/>
      <c r="C243" s="88"/>
      <c r="D243" s="8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8"/>
      <c r="C244" s="88"/>
      <c r="D244" s="8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8"/>
      <c r="C245" s="88"/>
      <c r="D245" s="8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8"/>
      <c r="C246" s="88"/>
      <c r="D246" s="8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8"/>
      <c r="C247" s="88"/>
      <c r="D247" s="8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8"/>
      <c r="C248" s="88"/>
      <c r="D248" s="8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8"/>
      <c r="C249" s="88"/>
      <c r="D249" s="8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8"/>
      <c r="C250" s="88"/>
      <c r="D250" s="8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8"/>
      <c r="C251" s="88"/>
      <c r="D251" s="8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8"/>
      <c r="C252" s="88"/>
      <c r="D252" s="8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8"/>
      <c r="C253" s="88"/>
      <c r="D253" s="8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8"/>
      <c r="C254" s="88"/>
      <c r="D254" s="8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8"/>
      <c r="C255" s="88"/>
      <c r="D255" s="8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8"/>
      <c r="C256" s="88"/>
      <c r="D256" s="8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8"/>
      <c r="C257" s="88"/>
      <c r="D257" s="8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8"/>
      <c r="C258" s="88"/>
      <c r="D258" s="8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8"/>
      <c r="C259" s="88"/>
      <c r="D259" s="8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8"/>
      <c r="C260" s="88"/>
      <c r="D260" s="8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8"/>
      <c r="C261" s="88"/>
      <c r="D261" s="8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8"/>
      <c r="C262" s="88"/>
      <c r="D262" s="8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8"/>
      <c r="C263" s="88"/>
      <c r="D263" s="8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8"/>
      <c r="C264" s="88"/>
      <c r="D264" s="8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8"/>
      <c r="C265" s="88"/>
      <c r="D265" s="8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8"/>
      <c r="C266" s="88"/>
      <c r="D266" s="8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8"/>
      <c r="C267" s="88"/>
      <c r="D267" s="8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8"/>
      <c r="C268" s="88"/>
      <c r="D268" s="8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8"/>
      <c r="C269" s="88"/>
      <c r="D269" s="8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8"/>
      <c r="C270" s="88"/>
      <c r="D270" s="8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8"/>
      <c r="C271" s="88"/>
      <c r="D271" s="8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8"/>
      <c r="C272" s="88"/>
      <c r="D272" s="8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8"/>
      <c r="C273" s="88"/>
      <c r="D273" s="8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8"/>
      <c r="C274" s="88"/>
      <c r="D274" s="8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8"/>
      <c r="C275" s="88"/>
      <c r="D275" s="8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8"/>
      <c r="C276" s="88"/>
      <c r="D276" s="8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8"/>
      <c r="C277" s="88"/>
      <c r="D277" s="8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8"/>
      <c r="C278" s="88"/>
      <c r="D278" s="8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8"/>
      <c r="C279" s="88"/>
      <c r="D279" s="8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8"/>
      <c r="C280" s="88"/>
      <c r="D280" s="8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8"/>
      <c r="C281" s="88"/>
      <c r="D281" s="8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8"/>
      <c r="C282" s="88"/>
      <c r="D282" s="8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8"/>
      <c r="C283" s="88"/>
      <c r="D283" s="8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8"/>
      <c r="C284" s="88"/>
      <c r="D284" s="8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8"/>
      <c r="C285" s="88"/>
      <c r="D285" s="8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8"/>
      <c r="C286" s="88"/>
      <c r="D286" s="8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8"/>
      <c r="C287" s="88"/>
      <c r="D287" s="8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8"/>
      <c r="C288" s="88"/>
      <c r="D288" s="8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8"/>
      <c r="C289" s="88"/>
      <c r="D289" s="8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8"/>
      <c r="C290" s="88"/>
      <c r="D290" s="8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8"/>
      <c r="C291" s="88"/>
      <c r="D291" s="8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8"/>
      <c r="C292" s="88"/>
      <c r="D292" s="8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8"/>
      <c r="C293" s="88"/>
      <c r="D293" s="8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8"/>
      <c r="C294" s="88"/>
      <c r="D294" s="8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8"/>
      <c r="C295" s="88"/>
      <c r="D295" s="8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8"/>
      <c r="C296" s="88"/>
      <c r="D296" s="8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8"/>
      <c r="C297" s="88"/>
      <c r="D297" s="8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8"/>
      <c r="C298" s="88"/>
      <c r="D298" s="8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8"/>
      <c r="C299" s="88"/>
      <c r="D299" s="8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8"/>
      <c r="C300" s="88"/>
      <c r="D300" s="8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8"/>
      <c r="C301" s="88"/>
      <c r="D301" s="8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8"/>
      <c r="C302" s="88"/>
      <c r="D302" s="8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8"/>
      <c r="C303" s="88"/>
      <c r="D303" s="8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8"/>
      <c r="C304" s="88"/>
      <c r="D304" s="8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8"/>
      <c r="C305" s="88"/>
      <c r="D305" s="8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8"/>
      <c r="C306" s="88"/>
      <c r="D306" s="8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8"/>
      <c r="C307" s="88"/>
      <c r="D307" s="8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8"/>
      <c r="C308" s="88"/>
      <c r="D308" s="8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8"/>
      <c r="C309" s="88"/>
      <c r="D309" s="8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8"/>
      <c r="C310" s="88"/>
      <c r="D310" s="8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8"/>
      <c r="C311" s="88"/>
      <c r="D311" s="8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8"/>
      <c r="C312" s="88"/>
      <c r="D312" s="8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8"/>
      <c r="C313" s="88"/>
      <c r="D313" s="8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8"/>
      <c r="C314" s="88"/>
      <c r="D314" s="8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8"/>
      <c r="C315" s="88"/>
      <c r="D315" s="8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8"/>
      <c r="C316" s="88"/>
      <c r="D316" s="8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8"/>
      <c r="C317" s="88"/>
      <c r="D317" s="8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8"/>
      <c r="C318" s="88"/>
      <c r="D318" s="8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8"/>
      <c r="C319" s="88"/>
      <c r="D319" s="8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8"/>
      <c r="C320" s="88"/>
      <c r="D320" s="8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8"/>
      <c r="C321" s="88"/>
      <c r="D321" s="8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8"/>
      <c r="C322" s="88"/>
      <c r="D322" s="8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8"/>
      <c r="C323" s="88"/>
      <c r="D323" s="8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8"/>
      <c r="C324" s="88"/>
      <c r="D324" s="8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8"/>
      <c r="C325" s="88"/>
      <c r="D325" s="8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8"/>
      <c r="C326" s="88"/>
      <c r="D326" s="8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8"/>
      <c r="C327" s="88"/>
      <c r="D327" s="8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8"/>
      <c r="C328" s="88"/>
      <c r="D328" s="8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8"/>
      <c r="C329" s="88"/>
      <c r="D329" s="8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8"/>
      <c r="C330" s="88"/>
      <c r="D330" s="8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8"/>
      <c r="C331" s="88"/>
      <c r="D331" s="8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8"/>
      <c r="C332" s="88"/>
      <c r="D332" s="8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8"/>
      <c r="C333" s="88"/>
      <c r="D333" s="8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8"/>
      <c r="C334" s="88"/>
      <c r="D334" s="8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8"/>
      <c r="C335" s="88"/>
      <c r="D335" s="8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8"/>
      <c r="C336" s="88"/>
      <c r="D336" s="8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8"/>
      <c r="C337" s="88"/>
      <c r="D337" s="8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8"/>
      <c r="C338" s="88"/>
      <c r="D338" s="8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8"/>
      <c r="C339" s="88"/>
      <c r="D339" s="8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8"/>
      <c r="C340" s="88"/>
      <c r="D340" s="8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8"/>
      <c r="C341" s="88"/>
      <c r="D341" s="8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8"/>
      <c r="C342" s="88"/>
      <c r="D342" s="8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8"/>
      <c r="C343" s="88"/>
      <c r="D343" s="8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8"/>
      <c r="C344" s="88"/>
      <c r="D344" s="8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8"/>
      <c r="C345" s="88"/>
      <c r="D345" s="8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8"/>
      <c r="C346" s="88"/>
      <c r="D346" s="8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8"/>
      <c r="C347" s="88"/>
      <c r="D347" s="8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8"/>
      <c r="C348" s="88"/>
      <c r="D348" s="8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8"/>
      <c r="C349" s="88"/>
      <c r="D349" s="8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8"/>
      <c r="C350" s="88"/>
      <c r="D350" s="8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8"/>
      <c r="C351" s="88"/>
      <c r="D351" s="8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8"/>
      <c r="C352" s="88"/>
      <c r="D352" s="8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8"/>
      <c r="C353" s="88"/>
      <c r="D353" s="8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8"/>
      <c r="C354" s="88"/>
      <c r="D354" s="8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8"/>
      <c r="C355" s="88"/>
      <c r="D355" s="8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8"/>
      <c r="C356" s="88"/>
      <c r="D356" s="8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8"/>
      <c r="C357" s="88"/>
      <c r="D357" s="8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8"/>
      <c r="C358" s="88"/>
      <c r="D358" s="8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8"/>
      <c r="C359" s="88"/>
      <c r="D359" s="8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8"/>
      <c r="C360" s="88"/>
      <c r="D360" s="8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8"/>
      <c r="C361" s="88"/>
      <c r="D361" s="8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8"/>
      <c r="C362" s="88"/>
      <c r="D362" s="8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8"/>
      <c r="C363" s="88"/>
      <c r="D363" s="8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8"/>
      <c r="C364" s="88"/>
      <c r="D364" s="8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8"/>
      <c r="C365" s="88"/>
      <c r="D365" s="8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8"/>
      <c r="C366" s="88"/>
      <c r="D366" s="8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8"/>
      <c r="C367" s="88"/>
      <c r="D367" s="8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8"/>
      <c r="C368" s="88"/>
      <c r="D368" s="8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8"/>
      <c r="C369" s="88"/>
      <c r="D369" s="8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8"/>
      <c r="C370" s="88"/>
      <c r="D370" s="8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8"/>
      <c r="C371" s="88"/>
      <c r="D371" s="8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8"/>
      <c r="C372" s="88"/>
      <c r="D372" s="8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8"/>
      <c r="C373" s="88"/>
      <c r="D373" s="8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8"/>
      <c r="C374" s="88"/>
      <c r="D374" s="8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8"/>
      <c r="C375" s="88"/>
      <c r="D375" s="8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8"/>
      <c r="C376" s="88"/>
      <c r="D376" s="8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8"/>
      <c r="C377" s="88"/>
      <c r="D377" s="8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8"/>
      <c r="C378" s="88"/>
      <c r="D378" s="8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8"/>
      <c r="C379" s="88"/>
      <c r="D379" s="8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8"/>
      <c r="C380" s="88"/>
      <c r="D380" s="8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8"/>
      <c r="C381" s="88"/>
      <c r="D381" s="8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8"/>
      <c r="C382" s="88"/>
      <c r="D382" s="8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8"/>
      <c r="C383" s="88"/>
      <c r="D383" s="8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8"/>
      <c r="C384" s="88"/>
      <c r="D384" s="8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8"/>
      <c r="C385" s="88"/>
      <c r="D385" s="8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8"/>
      <c r="C386" s="88"/>
      <c r="D386" s="8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8"/>
      <c r="C387" s="88"/>
      <c r="D387" s="8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8"/>
      <c r="C388" s="88"/>
      <c r="D388" s="8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8"/>
      <c r="C389" s="88"/>
      <c r="D389" s="8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8"/>
      <c r="C390" s="88"/>
      <c r="D390" s="8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8"/>
      <c r="C391" s="88"/>
      <c r="D391" s="8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8"/>
      <c r="C392" s="88"/>
      <c r="D392" s="8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8"/>
      <c r="C393" s="88"/>
      <c r="D393" s="8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8"/>
      <c r="C394" s="88"/>
      <c r="D394" s="8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8"/>
      <c r="C395" s="88"/>
      <c r="D395" s="8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8"/>
      <c r="C396" s="88"/>
      <c r="D396" s="8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8"/>
      <c r="C397" s="88"/>
      <c r="D397" s="8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8"/>
      <c r="C398" s="88"/>
      <c r="D398" s="8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8"/>
      <c r="C399" s="88"/>
      <c r="D399" s="8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8"/>
      <c r="C400" s="88"/>
      <c r="D400" s="8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8"/>
      <c r="C401" s="88"/>
      <c r="D401" s="8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8"/>
      <c r="C402" s="88"/>
      <c r="D402" s="8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8"/>
      <c r="C403" s="88"/>
      <c r="D403" s="8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8"/>
      <c r="C404" s="88"/>
      <c r="D404" s="8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8"/>
      <c r="C405" s="88"/>
      <c r="D405" s="8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8"/>
      <c r="C406" s="88"/>
      <c r="D406" s="8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8"/>
      <c r="C407" s="88"/>
      <c r="D407" s="8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8"/>
      <c r="C408" s="88"/>
      <c r="D408" s="8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8"/>
      <c r="C409" s="88"/>
      <c r="D409" s="8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8"/>
      <c r="C410" s="88"/>
      <c r="D410" s="8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8"/>
      <c r="C411" s="88"/>
      <c r="D411" s="8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8"/>
      <c r="C412" s="88"/>
      <c r="D412" s="8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8"/>
      <c r="C413" s="88"/>
      <c r="D413" s="8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8"/>
      <c r="C414" s="88"/>
      <c r="D414" s="8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8"/>
      <c r="C415" s="88"/>
      <c r="D415" s="8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8"/>
      <c r="C416" s="88"/>
      <c r="D416" s="8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8"/>
      <c r="C417" s="88"/>
      <c r="D417" s="8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8"/>
      <c r="C418" s="88"/>
      <c r="D418" s="8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8"/>
      <c r="C419" s="88"/>
      <c r="D419" s="8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8"/>
      <c r="C420" s="88"/>
      <c r="D420" s="8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8"/>
      <c r="C421" s="88"/>
      <c r="D421" s="8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8"/>
      <c r="C422" s="88"/>
      <c r="D422" s="8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8"/>
      <c r="C423" s="88"/>
      <c r="D423" s="8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8"/>
      <c r="C424" s="88"/>
      <c r="D424" s="8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8"/>
      <c r="C425" s="88"/>
      <c r="D425" s="8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8"/>
      <c r="C426" s="88"/>
      <c r="D426" s="8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8"/>
      <c r="C427" s="88"/>
      <c r="D427" s="8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8"/>
      <c r="C428" s="88"/>
      <c r="D428" s="8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8"/>
      <c r="C429" s="88"/>
      <c r="D429" s="8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8"/>
      <c r="C430" s="88"/>
      <c r="D430" s="8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8"/>
      <c r="C431" s="88"/>
      <c r="D431" s="8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8"/>
      <c r="C432" s="88"/>
      <c r="D432" s="8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8"/>
      <c r="C433" s="88"/>
      <c r="D433" s="8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8"/>
      <c r="C434" s="88"/>
      <c r="D434" s="8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8"/>
      <c r="C435" s="88"/>
      <c r="D435" s="8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8"/>
      <c r="C436" s="88"/>
      <c r="D436" s="8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8"/>
      <c r="C437" s="88"/>
      <c r="D437" s="8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8"/>
      <c r="C438" s="88"/>
      <c r="D438" s="8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8"/>
      <c r="C439" s="88"/>
      <c r="D439" s="8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8"/>
      <c r="C440" s="88"/>
      <c r="D440" s="8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8"/>
      <c r="C441" s="88"/>
      <c r="D441" s="8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8"/>
      <c r="C442" s="88"/>
      <c r="D442" s="8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8"/>
      <c r="C443" s="88"/>
      <c r="D443" s="8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8"/>
      <c r="C444" s="88"/>
      <c r="D444" s="8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8"/>
      <c r="C445" s="88"/>
      <c r="D445" s="8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8"/>
      <c r="C446" s="88"/>
      <c r="D446" s="8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8"/>
      <c r="C447" s="88"/>
      <c r="D447" s="8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8"/>
      <c r="C448" s="88"/>
      <c r="D448" s="8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8"/>
      <c r="C449" s="88"/>
      <c r="D449" s="8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8"/>
      <c r="C450" s="88"/>
      <c r="D450" s="8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8"/>
      <c r="C451" s="88"/>
      <c r="D451" s="8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8"/>
      <c r="C452" s="88"/>
      <c r="D452" s="8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8"/>
      <c r="C453" s="88"/>
      <c r="D453" s="8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8"/>
      <c r="C454" s="88"/>
      <c r="D454" s="8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8"/>
      <c r="C455" s="88"/>
      <c r="D455" s="8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8"/>
      <c r="C456" s="88"/>
      <c r="D456" s="8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8"/>
      <c r="C457" s="88"/>
      <c r="D457" s="8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8"/>
      <c r="C458" s="88"/>
      <c r="D458" s="8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8"/>
      <c r="C459" s="88"/>
      <c r="D459" s="8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8"/>
      <c r="C460" s="88"/>
      <c r="D460" s="8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8"/>
      <c r="C461" s="88"/>
      <c r="D461" s="8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8"/>
      <c r="C462" s="88"/>
      <c r="D462" s="8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8"/>
      <c r="C463" s="88"/>
      <c r="D463" s="8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8"/>
      <c r="C464" s="88"/>
      <c r="D464" s="8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8"/>
      <c r="C465" s="88"/>
      <c r="D465" s="8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8"/>
      <c r="C466" s="88"/>
      <c r="D466" s="8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8"/>
      <c r="C467" s="88"/>
      <c r="D467" s="8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8"/>
      <c r="C468" s="88"/>
      <c r="D468" s="8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8"/>
      <c r="C469" s="88"/>
      <c r="D469" s="8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8"/>
      <c r="C470" s="88"/>
      <c r="D470" s="8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8"/>
      <c r="C471" s="88"/>
      <c r="D471" s="8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8"/>
      <c r="C472" s="88"/>
      <c r="D472" s="8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8"/>
      <c r="C473" s="88"/>
      <c r="D473" s="8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8"/>
      <c r="C474" s="88"/>
      <c r="D474" s="8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8"/>
      <c r="C475" s="88"/>
      <c r="D475" s="8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8"/>
      <c r="C476" s="88"/>
      <c r="D476" s="8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8"/>
      <c r="C477" s="88"/>
      <c r="D477" s="8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8"/>
      <c r="C478" s="88"/>
      <c r="D478" s="8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8"/>
      <c r="C479" s="88"/>
      <c r="D479" s="8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8"/>
      <c r="C480" s="88"/>
      <c r="D480" s="8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8"/>
      <c r="C481" s="88"/>
      <c r="D481" s="8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8"/>
      <c r="C482" s="88"/>
      <c r="D482" s="8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8"/>
      <c r="C483" s="88"/>
      <c r="D483" s="8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8"/>
      <c r="C484" s="88"/>
      <c r="D484" s="8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8"/>
      <c r="C485" s="88"/>
      <c r="D485" s="8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8"/>
      <c r="C486" s="88"/>
      <c r="D486" s="8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8"/>
      <c r="C487" s="88"/>
      <c r="D487" s="8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8"/>
      <c r="C488" s="88"/>
      <c r="D488" s="8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8"/>
      <c r="C489" s="88"/>
      <c r="D489" s="8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8"/>
      <c r="C490" s="88"/>
      <c r="D490" s="8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8"/>
      <c r="C491" s="88"/>
      <c r="D491" s="8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8"/>
      <c r="C492" s="88"/>
      <c r="D492" s="8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8"/>
      <c r="C493" s="88"/>
      <c r="D493" s="8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8"/>
      <c r="C494" s="88"/>
      <c r="D494" s="8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8"/>
      <c r="C495" s="88"/>
      <c r="D495" s="8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8"/>
      <c r="C496" s="88"/>
      <c r="D496" s="8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8"/>
      <c r="C497" s="88"/>
      <c r="D497" s="8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8"/>
      <c r="C498" s="88"/>
      <c r="D498" s="8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8"/>
      <c r="C499" s="88"/>
      <c r="D499" s="8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8"/>
      <c r="C500" s="88"/>
      <c r="D500" s="8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8"/>
      <c r="C501" s="88"/>
      <c r="D501" s="8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8"/>
      <c r="C502" s="88"/>
      <c r="D502" s="8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8"/>
      <c r="C503" s="88"/>
      <c r="D503" s="8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8"/>
      <c r="C504" s="88"/>
      <c r="D504" s="8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8"/>
      <c r="C505" s="88"/>
      <c r="D505" s="8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8"/>
      <c r="C506" s="88"/>
      <c r="D506" s="8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8"/>
      <c r="C507" s="88"/>
      <c r="D507" s="8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8"/>
      <c r="C508" s="88"/>
      <c r="D508" s="8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8"/>
      <c r="C509" s="88"/>
      <c r="D509" s="8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8"/>
      <c r="C510" s="88"/>
      <c r="D510" s="8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8"/>
      <c r="C511" s="88"/>
      <c r="D511" s="8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8"/>
      <c r="C512" s="88"/>
      <c r="D512" s="8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8"/>
      <c r="C513" s="88"/>
      <c r="D513" s="8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8"/>
      <c r="C514" s="88"/>
      <c r="D514" s="8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8"/>
      <c r="C515" s="88"/>
      <c r="D515" s="8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8"/>
      <c r="C516" s="88"/>
      <c r="D516" s="8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8"/>
      <c r="C517" s="88"/>
      <c r="D517" s="8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8"/>
      <c r="C518" s="88"/>
      <c r="D518" s="8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8"/>
      <c r="C519" s="88"/>
      <c r="D519" s="8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8"/>
      <c r="C520" s="88"/>
      <c r="D520" s="8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8"/>
      <c r="C521" s="88"/>
      <c r="D521" s="8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8"/>
      <c r="C522" s="88"/>
      <c r="D522" s="8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8"/>
      <c r="C523" s="88"/>
      <c r="D523" s="8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8"/>
      <c r="C524" s="88"/>
      <c r="D524" s="8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8"/>
      <c r="C525" s="88"/>
      <c r="D525" s="8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8"/>
      <c r="C526" s="88"/>
      <c r="D526" s="8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8"/>
      <c r="C527" s="88"/>
      <c r="D527" s="8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8"/>
      <c r="C528" s="88"/>
      <c r="D528" s="8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8"/>
      <c r="C529" s="88"/>
      <c r="D529" s="8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8"/>
      <c r="C530" s="88"/>
      <c r="D530" s="8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8"/>
      <c r="C531" s="88"/>
      <c r="D531" s="8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8"/>
      <c r="C532" s="88"/>
      <c r="D532" s="8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8"/>
      <c r="C533" s="88"/>
      <c r="D533" s="8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8"/>
      <c r="C534" s="88"/>
      <c r="D534" s="8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8"/>
      <c r="C535" s="88"/>
      <c r="D535" s="8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8"/>
      <c r="C536" s="88"/>
      <c r="D536" s="8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8"/>
      <c r="C537" s="88"/>
      <c r="D537" s="8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8"/>
      <c r="C538" s="88"/>
      <c r="D538" s="8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8"/>
      <c r="C539" s="88"/>
      <c r="D539" s="8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8"/>
      <c r="C540" s="88"/>
      <c r="D540" s="8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8"/>
      <c r="C541" s="88"/>
      <c r="D541" s="8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8"/>
      <c r="C542" s="88"/>
      <c r="D542" s="8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8"/>
      <c r="C543" s="88"/>
      <c r="D543" s="8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8"/>
      <c r="C544" s="88"/>
      <c r="D544" s="8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8"/>
      <c r="C545" s="88"/>
      <c r="D545" s="8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8"/>
      <c r="C546" s="88"/>
      <c r="D546" s="8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8"/>
      <c r="C547" s="88"/>
      <c r="D547" s="8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8"/>
      <c r="C548" s="88"/>
      <c r="D548" s="8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8"/>
      <c r="C549" s="88"/>
      <c r="D549" s="8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8"/>
      <c r="C550" s="88"/>
      <c r="D550" s="8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8"/>
      <c r="C551" s="88"/>
      <c r="D551" s="8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8"/>
      <c r="C552" s="88"/>
      <c r="D552" s="8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8"/>
      <c r="C553" s="88"/>
      <c r="D553" s="8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8"/>
      <c r="C554" s="88"/>
      <c r="D554" s="8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8"/>
      <c r="C555" s="88"/>
      <c r="D555" s="8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8"/>
      <c r="C556" s="88"/>
      <c r="D556" s="8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8"/>
      <c r="C557" s="88"/>
      <c r="D557" s="8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8"/>
      <c r="C558" s="88"/>
      <c r="D558" s="8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8"/>
      <c r="C559" s="88"/>
      <c r="D559" s="8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8"/>
      <c r="C560" s="88"/>
      <c r="D560" s="8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8"/>
      <c r="C561" s="88"/>
      <c r="D561" s="8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8"/>
      <c r="C562" s="88"/>
      <c r="D562" s="8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8"/>
      <c r="C563" s="88"/>
      <c r="D563" s="8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8"/>
      <c r="C564" s="88"/>
      <c r="D564" s="8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8"/>
      <c r="C565" s="88"/>
      <c r="D565" s="8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8"/>
      <c r="C566" s="88"/>
      <c r="D566" s="8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8"/>
      <c r="C567" s="88"/>
      <c r="D567" s="8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8"/>
      <c r="C568" s="88"/>
      <c r="D568" s="8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8"/>
      <c r="C569" s="88"/>
      <c r="D569" s="8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8"/>
      <c r="C570" s="88"/>
      <c r="D570" s="8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8"/>
      <c r="C571" s="88"/>
      <c r="D571" s="8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8"/>
      <c r="C572" s="88"/>
      <c r="D572" s="8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8"/>
      <c r="C573" s="88"/>
      <c r="D573" s="8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8"/>
      <c r="C574" s="88"/>
      <c r="D574" s="8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8"/>
      <c r="C575" s="88"/>
      <c r="D575" s="8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8"/>
      <c r="C576" s="88"/>
      <c r="D576" s="8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8"/>
      <c r="C577" s="88"/>
      <c r="D577" s="8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8"/>
      <c r="C578" s="88"/>
      <c r="D578" s="8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8"/>
      <c r="C579" s="88"/>
      <c r="D579" s="8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8"/>
      <c r="C580" s="88"/>
      <c r="D580" s="8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8"/>
      <c r="C581" s="88"/>
      <c r="D581" s="8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8"/>
      <c r="C582" s="88"/>
      <c r="D582" s="8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8"/>
      <c r="C583" s="88"/>
      <c r="D583" s="8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8"/>
      <c r="C584" s="88"/>
      <c r="D584" s="8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8"/>
      <c r="C585" s="88"/>
      <c r="D585" s="8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8"/>
      <c r="C586" s="88"/>
      <c r="D586" s="8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8"/>
      <c r="C587" s="88"/>
      <c r="D587" s="8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8"/>
      <c r="C588" s="88"/>
      <c r="D588" s="8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8"/>
      <c r="C589" s="88"/>
      <c r="D589" s="8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8"/>
      <c r="C590" s="88"/>
      <c r="D590" s="8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8"/>
      <c r="C591" s="88"/>
      <c r="D591" s="8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8"/>
      <c r="C592" s="88"/>
      <c r="D592" s="8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8"/>
      <c r="C593" s="88"/>
      <c r="D593" s="8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8"/>
      <c r="C594" s="88"/>
      <c r="D594" s="8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8"/>
      <c r="C595" s="88"/>
      <c r="D595" s="8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8"/>
      <c r="C596" s="88"/>
      <c r="D596" s="8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8"/>
      <c r="C597" s="88"/>
      <c r="D597" s="8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8"/>
      <c r="C598" s="88"/>
      <c r="D598" s="8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8"/>
      <c r="C599" s="88"/>
      <c r="D599" s="8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8"/>
      <c r="C600" s="88"/>
      <c r="D600" s="8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8"/>
      <c r="C601" s="88"/>
      <c r="D601" s="8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8"/>
      <c r="C602" s="88"/>
      <c r="D602" s="8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8"/>
      <c r="C603" s="88"/>
      <c r="D603" s="8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8"/>
      <c r="C604" s="88"/>
      <c r="D604" s="8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8"/>
      <c r="C605" s="88"/>
      <c r="D605" s="8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8"/>
      <c r="C606" s="88"/>
      <c r="D606" s="8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8"/>
      <c r="C607" s="88"/>
      <c r="D607" s="8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8"/>
      <c r="C608" s="88"/>
      <c r="D608" s="8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8"/>
      <c r="C609" s="88"/>
      <c r="D609" s="8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8"/>
      <c r="C610" s="88"/>
      <c r="D610" s="8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8"/>
      <c r="C611" s="88"/>
      <c r="D611" s="8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8"/>
      <c r="C612" s="88"/>
      <c r="D612" s="8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8"/>
      <c r="C613" s="88"/>
      <c r="D613" s="8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8"/>
      <c r="C614" s="88"/>
      <c r="D614" s="8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8"/>
      <c r="C615" s="88"/>
      <c r="D615" s="8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8"/>
      <c r="C616" s="88"/>
      <c r="D616" s="8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8"/>
      <c r="C617" s="88"/>
      <c r="D617" s="8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8"/>
      <c r="C618" s="88"/>
      <c r="D618" s="8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8"/>
      <c r="C619" s="88"/>
      <c r="D619" s="8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8"/>
      <c r="C620" s="88"/>
      <c r="D620" s="8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8"/>
      <c r="C621" s="88"/>
      <c r="D621" s="8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8"/>
      <c r="C622" s="88"/>
      <c r="D622" s="8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8"/>
      <c r="C623" s="88"/>
      <c r="D623" s="8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8"/>
      <c r="C624" s="88"/>
      <c r="D624" s="8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8"/>
      <c r="C625" s="88"/>
      <c r="D625" s="8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8"/>
      <c r="C626" s="88"/>
      <c r="D626" s="8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8"/>
      <c r="C627" s="88"/>
      <c r="D627" s="8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8"/>
      <c r="C628" s="88"/>
      <c r="D628" s="8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8"/>
      <c r="C629" s="88"/>
      <c r="D629" s="8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8"/>
      <c r="C630" s="88"/>
      <c r="D630" s="8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8"/>
      <c r="C631" s="88"/>
      <c r="D631" s="8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8"/>
      <c r="C632" s="88"/>
      <c r="D632" s="8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8"/>
      <c r="C633" s="88"/>
      <c r="D633" s="8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8"/>
      <c r="C634" s="88"/>
      <c r="D634" s="8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8"/>
      <c r="C635" s="88"/>
      <c r="D635" s="8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8"/>
      <c r="C636" s="88"/>
      <c r="D636" s="8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8"/>
      <c r="C637" s="88"/>
      <c r="D637" s="8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8"/>
      <c r="C638" s="88"/>
      <c r="D638" s="8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8"/>
      <c r="C639" s="88"/>
      <c r="D639" s="8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8"/>
      <c r="C640" s="88"/>
      <c r="D640" s="8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8"/>
      <c r="C641" s="88"/>
      <c r="D641" s="8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8"/>
      <c r="C642" s="88"/>
      <c r="D642" s="8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8"/>
      <c r="C643" s="88"/>
      <c r="D643" s="8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8"/>
      <c r="C644" s="88"/>
      <c r="D644" s="8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8"/>
      <c r="C645" s="88"/>
      <c r="D645" s="8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8"/>
      <c r="C646" s="88"/>
      <c r="D646" s="8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8"/>
      <c r="C647" s="88"/>
      <c r="D647" s="8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8"/>
      <c r="C648" s="88"/>
      <c r="D648" s="8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8"/>
      <c r="C649" s="88"/>
      <c r="D649" s="8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8"/>
      <c r="C650" s="88"/>
      <c r="D650" s="8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8"/>
      <c r="C651" s="88"/>
      <c r="D651" s="8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8"/>
      <c r="C652" s="88"/>
      <c r="D652" s="8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8"/>
      <c r="C653" s="88"/>
      <c r="D653" s="8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8"/>
      <c r="C654" s="88"/>
      <c r="D654" s="8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8"/>
      <c r="C655" s="88"/>
      <c r="D655" s="8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8"/>
      <c r="C656" s="88"/>
      <c r="D656" s="8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8"/>
      <c r="C657" s="88"/>
      <c r="D657" s="8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8"/>
      <c r="C658" s="88"/>
      <c r="D658" s="8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8"/>
      <c r="C659" s="88"/>
      <c r="D659" s="8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8"/>
      <c r="C660" s="88"/>
      <c r="D660" s="8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8"/>
      <c r="C661" s="88"/>
      <c r="D661" s="8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8"/>
      <c r="C662" s="88"/>
      <c r="D662" s="8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8"/>
      <c r="C663" s="88"/>
      <c r="D663" s="8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8"/>
      <c r="C664" s="88"/>
      <c r="D664" s="8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8"/>
      <c r="C665" s="88"/>
      <c r="D665" s="8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8"/>
      <c r="C666" s="88"/>
      <c r="D666" s="8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8"/>
      <c r="C667" s="88"/>
      <c r="D667" s="8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8"/>
      <c r="C668" s="88"/>
      <c r="D668" s="8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8"/>
      <c r="C669" s="88"/>
      <c r="D669" s="8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8"/>
      <c r="C670" s="88"/>
      <c r="D670" s="8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8"/>
      <c r="C671" s="88"/>
      <c r="D671" s="8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8"/>
      <c r="C672" s="88"/>
      <c r="D672" s="8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8"/>
      <c r="C673" s="88"/>
      <c r="D673" s="8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8"/>
      <c r="C674" s="88"/>
      <c r="D674" s="8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8"/>
      <c r="C675" s="88"/>
      <c r="D675" s="8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8"/>
      <c r="C676" s="88"/>
      <c r="D676" s="8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8"/>
      <c r="C677" s="88"/>
      <c r="D677" s="8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8"/>
      <c r="C678" s="88"/>
      <c r="D678" s="8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8"/>
      <c r="C679" s="88"/>
      <c r="D679" s="8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8"/>
      <c r="C680" s="88"/>
      <c r="D680" s="8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8"/>
      <c r="C681" s="88"/>
      <c r="D681" s="8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8"/>
      <c r="C682" s="88"/>
      <c r="D682" s="8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8"/>
      <c r="C683" s="88"/>
      <c r="D683" s="8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8"/>
      <c r="C684" s="88"/>
      <c r="D684" s="8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8"/>
      <c r="C685" s="88"/>
      <c r="D685" s="8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8"/>
      <c r="C686" s="88"/>
      <c r="D686" s="8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8"/>
      <c r="C687" s="88"/>
      <c r="D687" s="8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8"/>
      <c r="C688" s="88"/>
      <c r="D688" s="8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8"/>
      <c r="C689" s="88"/>
      <c r="D689" s="8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8"/>
      <c r="C690" s="88"/>
      <c r="D690" s="8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8"/>
      <c r="C691" s="88"/>
      <c r="D691" s="8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8"/>
      <c r="C692" s="88"/>
      <c r="D692" s="8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8"/>
      <c r="C693" s="88"/>
      <c r="D693" s="8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8"/>
      <c r="C694" s="88"/>
      <c r="D694" s="8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8"/>
      <c r="C695" s="88"/>
      <c r="D695" s="8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8"/>
      <c r="C696" s="88"/>
      <c r="D696" s="8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8"/>
      <c r="C697" s="88"/>
      <c r="D697" s="8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8"/>
      <c r="C698" s="88"/>
      <c r="D698" s="8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8"/>
      <c r="C699" s="88"/>
      <c r="D699" s="8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8"/>
      <c r="C700" s="88"/>
      <c r="D700" s="8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8"/>
      <c r="C701" s="88"/>
      <c r="D701" s="8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8"/>
      <c r="C702" s="88"/>
      <c r="D702" s="8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8"/>
      <c r="C703" s="88"/>
      <c r="D703" s="8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8"/>
      <c r="C704" s="88"/>
      <c r="D704" s="8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8"/>
      <c r="C705" s="88"/>
      <c r="D705" s="8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8"/>
      <c r="C706" s="88"/>
      <c r="D706" s="8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8"/>
      <c r="C707" s="88"/>
      <c r="D707" s="8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8"/>
      <c r="C708" s="88"/>
      <c r="D708" s="8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8"/>
      <c r="C709" s="88"/>
      <c r="D709" s="8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8"/>
      <c r="C710" s="88"/>
      <c r="D710" s="8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8"/>
      <c r="C711" s="88"/>
      <c r="D711" s="8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8"/>
      <c r="C712" s="88"/>
      <c r="D712" s="8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8"/>
      <c r="C713" s="88"/>
      <c r="D713" s="8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8"/>
      <c r="C714" s="88"/>
      <c r="D714" s="8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8"/>
      <c r="C715" s="88"/>
      <c r="D715" s="8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8"/>
      <c r="C716" s="88"/>
      <c r="D716" s="8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8"/>
      <c r="C717" s="88"/>
      <c r="D717" s="8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8"/>
      <c r="C718" s="88"/>
      <c r="D718" s="8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8"/>
      <c r="C719" s="88"/>
      <c r="D719" s="8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8"/>
      <c r="C720" s="88"/>
      <c r="D720" s="8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8"/>
      <c r="C721" s="88"/>
      <c r="D721" s="8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8"/>
      <c r="C722" s="88"/>
      <c r="D722" s="8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8"/>
      <c r="C723" s="88"/>
      <c r="D723" s="8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8"/>
      <c r="C724" s="88"/>
      <c r="D724" s="8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8"/>
      <c r="C725" s="88"/>
      <c r="D725" s="8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8"/>
      <c r="C726" s="88"/>
      <c r="D726" s="8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8"/>
      <c r="C727" s="88"/>
      <c r="D727" s="8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8"/>
      <c r="C728" s="88"/>
      <c r="D728" s="8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8"/>
      <c r="C729" s="88"/>
      <c r="D729" s="8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8"/>
      <c r="C730" s="88"/>
      <c r="D730" s="8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8"/>
      <c r="C731" s="88"/>
      <c r="D731" s="8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8"/>
      <c r="C732" s="88"/>
      <c r="D732" s="8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8"/>
      <c r="C733" s="88"/>
      <c r="D733" s="8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8"/>
      <c r="C734" s="88"/>
      <c r="D734" s="8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8"/>
      <c r="C735" s="88"/>
      <c r="D735" s="8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8"/>
      <c r="C736" s="88"/>
      <c r="D736" s="8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8"/>
      <c r="C737" s="88"/>
      <c r="D737" s="8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8"/>
      <c r="C738" s="88"/>
      <c r="D738" s="8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8"/>
      <c r="C739" s="88"/>
      <c r="D739" s="8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8"/>
      <c r="C740" s="88"/>
      <c r="D740" s="8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8"/>
      <c r="C741" s="88"/>
      <c r="D741" s="8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8"/>
      <c r="C742" s="88"/>
      <c r="D742" s="8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8"/>
      <c r="C743" s="88"/>
      <c r="D743" s="8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8"/>
      <c r="C744" s="88"/>
      <c r="D744" s="8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8"/>
      <c r="C745" s="88"/>
      <c r="D745" s="8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8"/>
      <c r="C746" s="88"/>
      <c r="D746" s="8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8"/>
      <c r="C747" s="88"/>
      <c r="D747" s="8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8"/>
      <c r="C748" s="88"/>
      <c r="D748" s="8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8"/>
      <c r="C749" s="88"/>
      <c r="D749" s="8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8"/>
      <c r="C750" s="88"/>
      <c r="D750" s="8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8"/>
      <c r="C751" s="88"/>
      <c r="D751" s="8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8"/>
      <c r="C752" s="88"/>
      <c r="D752" s="8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8"/>
      <c r="C753" s="88"/>
      <c r="D753" s="8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8"/>
      <c r="C754" s="88"/>
      <c r="D754" s="8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8"/>
      <c r="C755" s="88"/>
      <c r="D755" s="8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8"/>
      <c r="C756" s="88"/>
      <c r="D756" s="8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8"/>
      <c r="C757" s="88"/>
      <c r="D757" s="8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8"/>
      <c r="C758" s="88"/>
      <c r="D758" s="8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8"/>
      <c r="C759" s="88"/>
      <c r="D759" s="8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8"/>
      <c r="C760" s="88"/>
      <c r="D760" s="8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8"/>
      <c r="C761" s="88"/>
      <c r="D761" s="8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8"/>
      <c r="C762" s="88"/>
      <c r="D762" s="8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8"/>
      <c r="C763" s="88"/>
      <c r="D763" s="8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8"/>
      <c r="C764" s="88"/>
      <c r="D764" s="8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8"/>
      <c r="C765" s="88"/>
      <c r="D765" s="8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8"/>
      <c r="C766" s="88"/>
      <c r="D766" s="8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8"/>
      <c r="C767" s="88"/>
      <c r="D767" s="8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8"/>
      <c r="C768" s="88"/>
      <c r="D768" s="8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8"/>
      <c r="C769" s="88"/>
      <c r="D769" s="8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8"/>
      <c r="C770" s="88"/>
      <c r="D770" s="8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8"/>
      <c r="C771" s="88"/>
      <c r="D771" s="8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8"/>
      <c r="C772" s="88"/>
      <c r="D772" s="8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8"/>
      <c r="C773" s="88"/>
      <c r="D773" s="8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8"/>
      <c r="C774" s="88"/>
      <c r="D774" s="8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8"/>
      <c r="C775" s="88"/>
      <c r="D775" s="8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8"/>
      <c r="C776" s="88"/>
      <c r="D776" s="8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8"/>
      <c r="C777" s="88"/>
      <c r="D777" s="8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8"/>
      <c r="C778" s="88"/>
      <c r="D778" s="8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8"/>
      <c r="C779" s="88"/>
      <c r="D779" s="8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8"/>
      <c r="C780" s="88"/>
      <c r="D780" s="8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8"/>
      <c r="C781" s="88"/>
      <c r="D781" s="8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8"/>
      <c r="C782" s="88"/>
      <c r="D782" s="8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8"/>
      <c r="C783" s="88"/>
      <c r="D783" s="8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8"/>
      <c r="C784" s="88"/>
      <c r="D784" s="8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8"/>
      <c r="C785" s="88"/>
      <c r="D785" s="8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8"/>
      <c r="C786" s="88"/>
      <c r="D786" s="8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8"/>
      <c r="C787" s="88"/>
      <c r="D787" s="8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8"/>
      <c r="C788" s="88"/>
      <c r="D788" s="8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8"/>
      <c r="C789" s="88"/>
      <c r="D789" s="8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8"/>
      <c r="C790" s="88"/>
      <c r="D790" s="8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8"/>
      <c r="C791" s="88"/>
      <c r="D791" s="8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8"/>
      <c r="C792" s="88"/>
      <c r="D792" s="8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8"/>
      <c r="C793" s="88"/>
      <c r="D793" s="8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8"/>
      <c r="C794" s="88"/>
      <c r="D794" s="8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8"/>
      <c r="C795" s="88"/>
      <c r="D795" s="8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8"/>
      <c r="C796" s="88"/>
      <c r="D796" s="8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8"/>
      <c r="C797" s="88"/>
      <c r="D797" s="8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8"/>
      <c r="C798" s="88"/>
      <c r="D798" s="8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8"/>
      <c r="C799" s="88"/>
      <c r="D799" s="8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8"/>
      <c r="C800" s="88"/>
      <c r="D800" s="8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8"/>
      <c r="C801" s="88"/>
      <c r="D801" s="8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8"/>
      <c r="C802" s="88"/>
      <c r="D802" s="8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8"/>
      <c r="C803" s="88"/>
      <c r="D803" s="8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8"/>
      <c r="C804" s="88"/>
      <c r="D804" s="8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8"/>
      <c r="C805" s="88"/>
      <c r="D805" s="8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8"/>
      <c r="C806" s="88"/>
      <c r="D806" s="8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8"/>
      <c r="C807" s="88"/>
      <c r="D807" s="8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8"/>
      <c r="C808" s="88"/>
      <c r="D808" s="8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8"/>
      <c r="C809" s="88"/>
      <c r="D809" s="8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8"/>
      <c r="C810" s="88"/>
      <c r="D810" s="8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8"/>
      <c r="C811" s="88"/>
      <c r="D811" s="8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8"/>
      <c r="C812" s="88"/>
      <c r="D812" s="8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8"/>
      <c r="C813" s="88"/>
      <c r="D813" s="8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8"/>
      <c r="C814" s="88"/>
      <c r="D814" s="8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8"/>
      <c r="C815" s="88"/>
      <c r="D815" s="8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8"/>
      <c r="C816" s="88"/>
      <c r="D816" s="8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8"/>
      <c r="C817" s="88"/>
      <c r="D817" s="8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8"/>
      <c r="C818" s="88"/>
      <c r="D818" s="8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8"/>
      <c r="C819" s="88"/>
      <c r="D819" s="8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8"/>
      <c r="C820" s="88"/>
      <c r="D820" s="8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8"/>
      <c r="C821" s="88"/>
      <c r="D821" s="8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8"/>
      <c r="C822" s="88"/>
      <c r="D822" s="8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8"/>
      <c r="C823" s="88"/>
      <c r="D823" s="8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8"/>
      <c r="C824" s="88"/>
      <c r="D824" s="8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8"/>
      <c r="C825" s="88"/>
      <c r="D825" s="8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8"/>
      <c r="C826" s="88"/>
      <c r="D826" s="8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8"/>
      <c r="C827" s="88"/>
      <c r="D827" s="8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8"/>
      <c r="C828" s="88"/>
      <c r="D828" s="8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8"/>
      <c r="C829" s="88"/>
      <c r="D829" s="8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8"/>
      <c r="C830" s="88"/>
      <c r="D830" s="8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8"/>
      <c r="C831" s="88"/>
      <c r="D831" s="8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8"/>
      <c r="C832" s="88"/>
      <c r="D832" s="8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8"/>
      <c r="C833" s="88"/>
      <c r="D833" s="8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8"/>
      <c r="C834" s="88"/>
      <c r="D834" s="8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8"/>
      <c r="C835" s="88"/>
      <c r="D835" s="8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8"/>
      <c r="C836" s="88"/>
      <c r="D836" s="8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8"/>
      <c r="C837" s="88"/>
      <c r="D837" s="8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8"/>
      <c r="C838" s="88"/>
      <c r="D838" s="8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8"/>
      <c r="C839" s="88"/>
      <c r="D839" s="8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8"/>
      <c r="C840" s="88"/>
      <c r="D840" s="8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8"/>
      <c r="C841" s="88"/>
      <c r="D841" s="8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8"/>
      <c r="C842" s="88"/>
      <c r="D842" s="8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8"/>
      <c r="C843" s="88"/>
      <c r="D843" s="8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8"/>
      <c r="C844" s="88"/>
      <c r="D844" s="8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8"/>
      <c r="C845" s="88"/>
      <c r="D845" s="8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8"/>
      <c r="C846" s="88"/>
      <c r="D846" s="8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8"/>
      <c r="C847" s="88"/>
      <c r="D847" s="8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8"/>
      <c r="C848" s="88"/>
      <c r="D848" s="8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8"/>
      <c r="C849" s="88"/>
      <c r="D849" s="8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8"/>
      <c r="C850" s="88"/>
      <c r="D850" s="8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8"/>
      <c r="C851" s="88"/>
      <c r="D851" s="8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8"/>
      <c r="C852" s="88"/>
      <c r="D852" s="8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8"/>
      <c r="C853" s="88"/>
      <c r="D853" s="8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8"/>
      <c r="C854" s="88"/>
      <c r="D854" s="8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8"/>
      <c r="C855" s="88"/>
      <c r="D855" s="8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8"/>
      <c r="C856" s="88"/>
      <c r="D856" s="8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8"/>
      <c r="C857" s="88"/>
      <c r="D857" s="8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8"/>
      <c r="C858" s="88"/>
      <c r="D858" s="8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8"/>
      <c r="C859" s="88"/>
      <c r="D859" s="8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8"/>
      <c r="C860" s="88"/>
      <c r="D860" s="8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8"/>
      <c r="C861" s="88"/>
      <c r="D861" s="8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8"/>
      <c r="C862" s="88"/>
      <c r="D862" s="8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8"/>
      <c r="C863" s="88"/>
      <c r="D863" s="8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8"/>
      <c r="C864" s="88"/>
      <c r="D864" s="8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8"/>
      <c r="C865" s="88"/>
      <c r="D865" s="8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8"/>
      <c r="C866" s="88"/>
      <c r="D866" s="8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8"/>
      <c r="C867" s="88"/>
      <c r="D867" s="8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8"/>
      <c r="C868" s="88"/>
      <c r="D868" s="8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8"/>
      <c r="C869" s="88"/>
      <c r="D869" s="8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8"/>
      <c r="C870" s="88"/>
      <c r="D870" s="8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8"/>
      <c r="C871" s="88"/>
      <c r="D871" s="8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8"/>
      <c r="C872" s="88"/>
      <c r="D872" s="8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8"/>
      <c r="C873" s="88"/>
      <c r="D873" s="8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8"/>
      <c r="C874" s="88"/>
      <c r="D874" s="8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8"/>
      <c r="C875" s="88"/>
      <c r="D875" s="8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8"/>
      <c r="C876" s="88"/>
      <c r="D876" s="8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8"/>
      <c r="C877" s="88"/>
      <c r="D877" s="8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8"/>
      <c r="C878" s="88"/>
      <c r="D878" s="8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8"/>
      <c r="C879" s="88"/>
      <c r="D879" s="8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8"/>
      <c r="C880" s="88"/>
      <c r="D880" s="8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8"/>
      <c r="C881" s="88"/>
      <c r="D881" s="8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8"/>
      <c r="C882" s="88"/>
      <c r="D882" s="8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8"/>
      <c r="C883" s="88"/>
      <c r="D883" s="8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8"/>
      <c r="C884" s="88"/>
      <c r="D884" s="8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8"/>
      <c r="C885" s="88"/>
      <c r="D885" s="8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8"/>
      <c r="C886" s="88"/>
      <c r="D886" s="8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8"/>
      <c r="C887" s="88"/>
      <c r="D887" s="8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8"/>
      <c r="C888" s="88"/>
      <c r="D888" s="8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8"/>
      <c r="C889" s="88"/>
      <c r="D889" s="8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8"/>
      <c r="C890" s="88"/>
      <c r="D890" s="8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8"/>
      <c r="C891" s="88"/>
      <c r="D891" s="8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8"/>
      <c r="C892" s="88"/>
      <c r="D892" s="8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8"/>
      <c r="C893" s="88"/>
      <c r="D893" s="8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8"/>
      <c r="C894" s="88"/>
      <c r="D894" s="8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8"/>
      <c r="C895" s="88"/>
      <c r="D895" s="8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8"/>
      <c r="C896" s="88"/>
      <c r="D896" s="8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8"/>
      <c r="C897" s="88"/>
      <c r="D897" s="8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8"/>
      <c r="C898" s="88"/>
      <c r="D898" s="8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8"/>
      <c r="C899" s="88"/>
      <c r="D899" s="8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8"/>
      <c r="C900" s="88"/>
      <c r="D900" s="8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8"/>
      <c r="C901" s="88"/>
      <c r="D901" s="8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8"/>
      <c r="C902" s="88"/>
      <c r="D902" s="8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8"/>
      <c r="C903" s="88"/>
      <c r="D903" s="8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8"/>
      <c r="C904" s="88"/>
      <c r="D904" s="8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8"/>
      <c r="C905" s="88"/>
      <c r="D905" s="8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8"/>
      <c r="C906" s="88"/>
      <c r="D906" s="8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8"/>
      <c r="C907" s="88"/>
      <c r="D907" s="8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8"/>
      <c r="C908" s="88"/>
      <c r="D908" s="8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8"/>
      <c r="C909" s="88"/>
      <c r="D909" s="8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8"/>
      <c r="C910" s="88"/>
      <c r="D910" s="8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8"/>
      <c r="C911" s="88"/>
      <c r="D911" s="8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8"/>
      <c r="C912" s="88"/>
      <c r="D912" s="8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8"/>
      <c r="C913" s="88"/>
      <c r="D913" s="8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8"/>
      <c r="C914" s="88"/>
      <c r="D914" s="8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8"/>
      <c r="C915" s="88"/>
      <c r="D915" s="8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8"/>
      <c r="C916" s="88"/>
      <c r="D916" s="8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8"/>
      <c r="C917" s="88"/>
      <c r="D917" s="8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8"/>
      <c r="C918" s="88"/>
      <c r="D918" s="8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8"/>
      <c r="C919" s="88"/>
      <c r="D919" s="8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8"/>
      <c r="C920" s="88"/>
      <c r="D920" s="8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8"/>
      <c r="C921" s="88"/>
      <c r="D921" s="8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8"/>
      <c r="C922" s="88"/>
      <c r="D922" s="8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8"/>
      <c r="C923" s="88"/>
      <c r="D923" s="8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8"/>
      <c r="C924" s="88"/>
      <c r="D924" s="8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8"/>
      <c r="C925" s="88"/>
      <c r="D925" s="8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8"/>
      <c r="C926" s="88"/>
      <c r="D926" s="8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8"/>
      <c r="C927" s="88"/>
      <c r="D927" s="8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8"/>
      <c r="C928" s="88"/>
      <c r="D928" s="8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8"/>
      <c r="C929" s="88"/>
      <c r="D929" s="8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8"/>
      <c r="C930" s="88"/>
      <c r="D930" s="8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8"/>
      <c r="C931" s="88"/>
      <c r="D931" s="8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8"/>
      <c r="C932" s="88"/>
      <c r="D932" s="8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8"/>
      <c r="C933" s="88"/>
      <c r="D933" s="8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8"/>
      <c r="C934" s="88"/>
      <c r="D934" s="8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8"/>
      <c r="C935" s="88"/>
      <c r="D935" s="8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8"/>
      <c r="C936" s="88"/>
      <c r="D936" s="8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8"/>
      <c r="C937" s="88"/>
      <c r="D937" s="8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8"/>
      <c r="C938" s="88"/>
      <c r="D938" s="8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8"/>
      <c r="C939" s="88"/>
      <c r="D939" s="8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8"/>
      <c r="C940" s="88"/>
      <c r="D940" s="8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8"/>
      <c r="C941" s="88"/>
      <c r="D941" s="8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8"/>
      <c r="C942" s="88"/>
      <c r="D942" s="8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8"/>
      <c r="C943" s="88"/>
      <c r="D943" s="8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8"/>
      <c r="C944" s="88"/>
      <c r="D944" s="8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8"/>
      <c r="C945" s="88"/>
      <c r="D945" s="8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8"/>
      <c r="C946" s="88"/>
      <c r="D946" s="8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8"/>
      <c r="C947" s="88"/>
      <c r="D947" s="8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8"/>
      <c r="C948" s="88"/>
      <c r="D948" s="8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8"/>
      <c r="C949" s="88"/>
      <c r="D949" s="8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8"/>
      <c r="C950" s="88"/>
      <c r="D950" s="8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8"/>
      <c r="C951" s="88"/>
      <c r="D951" s="8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8"/>
      <c r="C952" s="88"/>
      <c r="D952" s="8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8"/>
      <c r="C953" s="88"/>
      <c r="D953" s="8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8"/>
      <c r="C954" s="88"/>
      <c r="D954" s="8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8"/>
      <c r="C955" s="88"/>
      <c r="D955" s="8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8"/>
      <c r="C956" s="88"/>
      <c r="D956" s="8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8"/>
      <c r="C957" s="88"/>
      <c r="D957" s="8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8"/>
      <c r="C958" s="88"/>
      <c r="D958" s="8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8"/>
      <c r="C959" s="88"/>
      <c r="D959" s="8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8"/>
      <c r="C960" s="88"/>
      <c r="D960" s="8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8"/>
      <c r="C961" s="88"/>
      <c r="D961" s="8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8"/>
      <c r="C962" s="88"/>
      <c r="D962" s="8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8"/>
      <c r="C963" s="88"/>
      <c r="D963" s="8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8"/>
      <c r="C964" s="88"/>
      <c r="D964" s="8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8"/>
      <c r="C965" s="88"/>
      <c r="D965" s="8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8"/>
      <c r="C966" s="88"/>
      <c r="D966" s="8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8"/>
      <c r="C967" s="88"/>
      <c r="D967" s="8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8"/>
      <c r="C968" s="88"/>
      <c r="D968" s="8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8"/>
      <c r="C969" s="88"/>
      <c r="D969" s="8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8"/>
      <c r="C970" s="88"/>
      <c r="D970" s="8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8"/>
      <c r="C971" s="88"/>
      <c r="D971" s="8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8"/>
      <c r="C972" s="88"/>
      <c r="D972" s="8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8"/>
      <c r="C973" s="88"/>
      <c r="D973" s="8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8"/>
      <c r="C974" s="88"/>
      <c r="D974" s="8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8"/>
      <c r="C975" s="88"/>
      <c r="D975" s="8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8"/>
      <c r="C976" s="88"/>
      <c r="D976" s="8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8"/>
      <c r="C977" s="88"/>
      <c r="D977" s="8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8"/>
      <c r="C978" s="88"/>
      <c r="D978" s="8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8"/>
      <c r="C979" s="88"/>
      <c r="D979" s="8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8"/>
      <c r="C980" s="88"/>
      <c r="D980" s="8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8"/>
      <c r="C981" s="88"/>
      <c r="D981" s="8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8"/>
      <c r="C982" s="88"/>
      <c r="D982" s="8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8"/>
      <c r="C983" s="88"/>
      <c r="D983" s="8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8"/>
      <c r="C984" s="88"/>
      <c r="D984" s="8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8"/>
      <c r="C985" s="88"/>
      <c r="D985" s="8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8"/>
      <c r="C986" s="88"/>
      <c r="D986" s="8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8"/>
      <c r="C987" s="88"/>
      <c r="D987" s="8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8"/>
      <c r="C988" s="88"/>
      <c r="D988" s="8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8"/>
      <c r="C989" s="88"/>
      <c r="D989" s="8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8"/>
      <c r="C990" s="88"/>
      <c r="D990" s="8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8"/>
      <c r="C991" s="88"/>
      <c r="D991" s="8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8"/>
      <c r="C992" s="88"/>
      <c r="D992" s="8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8"/>
      <c r="C993" s="88"/>
      <c r="D993" s="8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8"/>
      <c r="C994" s="88"/>
      <c r="D994" s="8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8"/>
      <c r="C995" s="88"/>
      <c r="D995" s="8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8"/>
      <c r="C996" s="88"/>
      <c r="D996" s="8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8"/>
      <c r="C997" s="88"/>
      <c r="D997" s="8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8"/>
      <c r="C998" s="88"/>
      <c r="D998" s="8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8"/>
      <c r="C999" s="88"/>
      <c r="D999" s="8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9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05">
    <sortState ref="A7:G205">
      <sortCondition ref="D7:D205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59.75</v>
      </c>
      <c r="C2" s="101">
        <f>SUMIF(F8:F960,"MÉDIA MULTI-ANNONCEURS",G8:G960)</f>
        <v>59.75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1195</v>
      </c>
      <c r="C4" s="101">
        <f>SUMIF(F8:F960,"MÉDIA MULTI-ANNONCEURS",B8:B960)</f>
        <v>1195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 t="s">
        <v>50</v>
      </c>
      <c r="B8" s="111">
        <v>1195.0</v>
      </c>
      <c r="C8" s="112" t="s">
        <v>51</v>
      </c>
      <c r="D8" s="113">
        <v>46080.0</v>
      </c>
      <c r="E8" s="114" t="s">
        <v>52</v>
      </c>
      <c r="F8" s="110" t="s">
        <v>41</v>
      </c>
      <c r="G8" s="99">
        <f t="shared" ref="G8:G219" si="1">B8*0.05</f>
        <v>59.75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08">
    <sortState ref="A7:G208">
      <sortCondition ref="D7:D208"/>
      <sortCondition ref="C7:C208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152</v>
      </c>
      <c r="C2" s="101">
        <f>SUMIF(F8:F960,"MÉDIA MULTI-ANNONCEURS",G8:G960)</f>
        <v>59.75</v>
      </c>
      <c r="D2" s="102">
        <f>SUMIF(F8:F960,"PROMOTIONNEL",G8:G960)</f>
        <v>0</v>
      </c>
      <c r="E2" s="103">
        <f>SUMIF(F8:F960,"DIST. PUBLICITAIRE SOLO",G8:G960)</f>
        <v>71.75</v>
      </c>
      <c r="F2" s="104">
        <f>SUMIF(F8:F960,"AGENCE PUB",G8:G960)</f>
        <v>20.5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3040</v>
      </c>
      <c r="C4" s="101">
        <f>SUMIF(F8:F960,"MÉDIA MULTI-ANNONCEURS",B8:B960)</f>
        <v>1195</v>
      </c>
      <c r="D4" s="102">
        <f>SUMIF(F8:F960,"PROMOTIONNEL",B8:B960)</f>
        <v>0</v>
      </c>
      <c r="E4" s="103">
        <f>SUMIF(F8:F960,"DIST. PUBLICITAIRE SOLO",B8:B960)</f>
        <v>1435</v>
      </c>
      <c r="F4" s="104">
        <f>SUMIF(F8:F960,"AGENCE PUB",B8:B960)</f>
        <v>410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 t="s">
        <v>50</v>
      </c>
      <c r="B8" s="111">
        <v>1195.0</v>
      </c>
      <c r="C8" s="112" t="s">
        <v>53</v>
      </c>
      <c r="D8" s="113">
        <v>46094.0</v>
      </c>
      <c r="E8" s="114" t="s">
        <v>52</v>
      </c>
      <c r="F8" s="110" t="s">
        <v>41</v>
      </c>
      <c r="G8" s="99">
        <f t="shared" ref="G8:G212" si="1">B8*0.05</f>
        <v>59.75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8" t="s">
        <v>54</v>
      </c>
      <c r="B9" s="129">
        <v>1435.0</v>
      </c>
      <c r="C9" s="130" t="s">
        <v>55</v>
      </c>
      <c r="D9" s="131">
        <v>46108.0</v>
      </c>
      <c r="E9" s="132" t="s">
        <v>52</v>
      </c>
      <c r="F9" s="132" t="s">
        <v>21</v>
      </c>
      <c r="G9" s="99">
        <f t="shared" si="1"/>
        <v>71.75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8" t="s">
        <v>56</v>
      </c>
      <c r="B10" s="129">
        <v>410.0</v>
      </c>
      <c r="C10" s="130" t="s">
        <v>57</v>
      </c>
      <c r="D10" s="131">
        <v>46111.0</v>
      </c>
      <c r="E10" s="132" t="s">
        <v>52</v>
      </c>
      <c r="F10" s="132" t="s">
        <v>58</v>
      </c>
      <c r="G10" s="99">
        <f t="shared" si="1"/>
        <v>20.5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192.25</v>
      </c>
      <c r="C2" s="101">
        <f>SUMIF(F8:F960,"MÉDIA MULTI-ANNONCEURS",G8:G960)</f>
        <v>184.25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8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3845</v>
      </c>
      <c r="C4" s="101">
        <f>SUMIF(F8:F960,"MÉDIA MULTI-ANNONCEURS",B8:B960)</f>
        <v>3685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160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8" t="s">
        <v>50</v>
      </c>
      <c r="B8" s="129">
        <v>1195.0</v>
      </c>
      <c r="C8" s="130" t="s">
        <v>59</v>
      </c>
      <c r="D8" s="131">
        <v>46125.0</v>
      </c>
      <c r="E8" s="132" t="s">
        <v>52</v>
      </c>
      <c r="F8" s="132" t="s">
        <v>41</v>
      </c>
      <c r="G8" s="99">
        <f t="shared" ref="G8:G234" si="1">B8*0.05</f>
        <v>59.75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8" t="s">
        <v>60</v>
      </c>
      <c r="B9" s="129">
        <v>1245.0</v>
      </c>
      <c r="C9" s="130" t="s">
        <v>61</v>
      </c>
      <c r="D9" s="131">
        <v>46135.0</v>
      </c>
      <c r="E9" s="132" t="s">
        <v>52</v>
      </c>
      <c r="F9" s="132" t="s">
        <v>41</v>
      </c>
      <c r="G9" s="99">
        <f t="shared" si="1"/>
        <v>62.25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8" t="s">
        <v>60</v>
      </c>
      <c r="B10" s="129">
        <v>160.0</v>
      </c>
      <c r="C10" s="130" t="s">
        <v>62</v>
      </c>
      <c r="D10" s="131">
        <v>46135.0</v>
      </c>
      <c r="E10" s="132" t="s">
        <v>52</v>
      </c>
      <c r="F10" s="132" t="s">
        <v>58</v>
      </c>
      <c r="G10" s="99">
        <f t="shared" si="1"/>
        <v>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8" t="s">
        <v>63</v>
      </c>
      <c r="B11" s="129">
        <v>1245.0</v>
      </c>
      <c r="C11" s="130" t="s">
        <v>64</v>
      </c>
      <c r="D11" s="131">
        <v>46134.0</v>
      </c>
      <c r="E11" s="132" t="s">
        <v>52</v>
      </c>
      <c r="F11" s="132" t="s">
        <v>41</v>
      </c>
      <c r="G11" s="99">
        <f t="shared" si="1"/>
        <v>62.25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99">
        <f t="shared" si="1"/>
        <v>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99">
        <f t="shared" si="1"/>
        <v>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99">
        <f t="shared" si="1"/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99">
        <f t="shared" si="1"/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99">
        <f t="shared" si="1"/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99">
        <f t="shared" si="1"/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99">
        <f t="shared" si="1"/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99">
        <f t="shared" si="1"/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99">
        <f t="shared" si="1"/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99">
        <f t="shared" si="1"/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99">
        <f t="shared" si="1"/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99">
        <f t="shared" si="1"/>
        <v>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99">
        <f t="shared" si="1"/>
        <v>0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99">
        <f t="shared" si="1"/>
        <v>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99">
        <f t="shared" si="1"/>
        <v>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5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8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8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6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9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30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99">
        <f t="shared" si="1"/>
        <v>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99">
        <f t="shared" si="1"/>
        <v>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99">
        <f t="shared" si="1"/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99">
        <f t="shared" si="1"/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99">
        <f t="shared" si="1"/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99">
        <f t="shared" si="1"/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99">
        <f t="shared" si="1"/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99">
        <f t="shared" si="1"/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99">
        <f t="shared" si="1"/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99">
        <f t="shared" si="1"/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99">
        <f t="shared" si="1"/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