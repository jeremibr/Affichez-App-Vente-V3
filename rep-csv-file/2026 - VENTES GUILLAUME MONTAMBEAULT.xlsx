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jectif" sheetId="1" r:id="rId4"/>
    <sheet state="visible" name="Janvier" sheetId="2" r:id="rId5"/>
    <sheet state="visible" name="Février" sheetId="3" r:id="rId6"/>
    <sheet state="visible" name="Mars" sheetId="4" r:id="rId7"/>
    <sheet state="visible" name="Avril" sheetId="5" r:id="rId8"/>
    <sheet state="visible" name="Mai" sheetId="6" r:id="rId9"/>
    <sheet state="visible" name="Juin" sheetId="7" r:id="rId10"/>
    <sheet state="visible" name="Juillet" sheetId="8" r:id="rId11"/>
    <sheet state="visible" name="Août" sheetId="9" r:id="rId12"/>
    <sheet state="visible" name="Septembre" sheetId="10" r:id="rId13"/>
    <sheet state="visible" name="Octobre" sheetId="11" r:id="rId14"/>
    <sheet state="visible" name="Novembre" sheetId="12" r:id="rId15"/>
    <sheet state="visible" name="Décembre" sheetId="13" r:id="rId16"/>
  </sheets>
  <definedNames>
    <definedName hidden="1" localSheetId="1" name="_xlnm._FilterDatabase">Janvier!$A$7:$G$212</definedName>
    <definedName hidden="1" localSheetId="3" name="_xlnm._FilterDatabase">Mars!$A$7:$G$212</definedName>
    <definedName hidden="1" localSheetId="4" name="_xlnm._FilterDatabase">Avril!$A$7:$G$209</definedName>
    <definedName hidden="1" localSheetId="7" name="_xlnm._FilterDatabase">Juillet!$A$7:$G$212</definedName>
    <definedName hidden="1" localSheetId="9" name="_xlnm._FilterDatabase">Septembre!$A$7:$G$212</definedName>
    <definedName hidden="1" localSheetId="10" name="_xlnm._FilterDatabase">Octobre!$A$7:$G$212</definedName>
  </definedNames>
  <calcPr/>
</workbook>
</file>

<file path=xl/sharedStrings.xml><?xml version="1.0" encoding="utf-8"?>
<sst xmlns="http://schemas.openxmlformats.org/spreadsheetml/2006/main" count="765" uniqueCount="256">
  <si>
    <t>OBJECTIF ANNUEL</t>
  </si>
  <si>
    <t>Total</t>
  </si>
  <si>
    <t>Période</t>
  </si>
  <si>
    <t>Objectif</t>
  </si>
  <si>
    <t>% atteint</t>
  </si>
  <si>
    <t>Vente de l'année</t>
  </si>
  <si>
    <t>JANVIER</t>
  </si>
  <si>
    <t>FÉVRIER</t>
  </si>
  <si>
    <t>Objectif de vente annuel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</si>
  <si>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</si>
  <si>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</si>
  <si>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</si>
  <si>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</si>
  <si>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</si>
  <si>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</si>
  <si>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</si>
  <si>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</si>
  <si>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</si>
  <si>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</si>
  <si>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MULTI-ANNONCEURS</t>
  </si>
  <si>
    <t>PROMOTIONNEL</t>
  </si>
  <si>
    <t>DIST. PUBLICITAIRE SOLO</t>
  </si>
  <si>
    <t>NUMÉRIQUE</t>
  </si>
  <si>
    <t>APPLICATION</t>
  </si>
  <si>
    <t>SERVICES IA</t>
  </si>
  <si>
    <t>Totaux</t>
  </si>
  <si>
    <t>MÉDIA MULTI-ANNONCEURS</t>
  </si>
  <si>
    <t>Commission</t>
  </si>
  <si>
    <t>Vente</t>
  </si>
  <si>
    <t>CLIENT</t>
  </si>
  <si>
    <t>TOTAL (AVANT TAXES)</t>
  </si>
  <si>
    <t># FACTURE</t>
  </si>
  <si>
    <t>DATE</t>
  </si>
  <si>
    <t>REPRÉSENTANT</t>
  </si>
  <si>
    <t>DÉPARTEMENT</t>
  </si>
  <si>
    <t>COMMISSION</t>
  </si>
  <si>
    <t>Excavation St-Gab</t>
  </si>
  <si>
    <t>QC-019128</t>
  </si>
  <si>
    <t>Guillaume Montambeault</t>
  </si>
  <si>
    <t>GFT Canada</t>
  </si>
  <si>
    <t>QC-019130</t>
  </si>
  <si>
    <t>Impression Portneuf</t>
  </si>
  <si>
    <t>QC-019133</t>
  </si>
  <si>
    <t>Fincap Groupe Financier</t>
  </si>
  <si>
    <t>QC-019155</t>
  </si>
  <si>
    <t>Déneigement Hervieux</t>
  </si>
  <si>
    <t>QC-019166</t>
  </si>
  <si>
    <t>Lutinerie de Montréal</t>
  </si>
  <si>
    <t>QC-019171</t>
  </si>
  <si>
    <t>Pharmacie Jean Coutu Baie-Saint-Paul</t>
  </si>
  <si>
    <t>QC-019181</t>
  </si>
  <si>
    <t>Mary import</t>
  </si>
  <si>
    <t>QC-019185</t>
  </si>
  <si>
    <t>Au chalet en bois rond</t>
  </si>
  <si>
    <t>QC-019207</t>
  </si>
  <si>
    <t>QC-019216</t>
  </si>
  <si>
    <t xml:space="preserve">Hélène Fraser </t>
  </si>
  <si>
    <t>CN-01069</t>
  </si>
  <si>
    <t>Épicerie Africaine Shekinah</t>
  </si>
  <si>
    <t>QC-019221</t>
  </si>
  <si>
    <t>Centre de ressources pour les familles militaires Valcartier</t>
  </si>
  <si>
    <t>QC-019223</t>
  </si>
  <si>
    <t>Service De Police-Mirabel</t>
  </si>
  <si>
    <t>QC-019229</t>
  </si>
  <si>
    <t>CISSS Chaudière-Appalaches</t>
  </si>
  <si>
    <t>QC-019234</t>
  </si>
  <si>
    <t>QC-019253</t>
  </si>
  <si>
    <t>ARLYX</t>
  </si>
  <si>
    <t>QC-019265</t>
  </si>
  <si>
    <t>Service de Police Mirabel</t>
  </si>
  <si>
    <t>CN-01070</t>
  </si>
  <si>
    <t>MTL-001902</t>
  </si>
  <si>
    <t>Constructions Envergure inc.</t>
  </si>
  <si>
    <t>QC-019276</t>
  </si>
  <si>
    <t>École de Cirque de Québec</t>
  </si>
  <si>
    <t>QC-019273</t>
  </si>
  <si>
    <t>Zone Peinture inc - Mauricie | Centre-Du-Québec</t>
  </si>
  <si>
    <t>QC-019271</t>
  </si>
  <si>
    <t>DORR Industries</t>
  </si>
  <si>
    <t>QC-019270</t>
  </si>
  <si>
    <t>QC-019381</t>
  </si>
  <si>
    <t>Respecte Nature</t>
  </si>
  <si>
    <t>QC-019380</t>
  </si>
  <si>
    <t>Les Bonyeuses 93720761 Québec inc</t>
  </si>
  <si>
    <t>QC-019362</t>
  </si>
  <si>
    <t>Ça l'air cochon</t>
  </si>
  <si>
    <t>QC-019329</t>
  </si>
  <si>
    <t>QC-019328</t>
  </si>
  <si>
    <t>Collège François-de-Laval</t>
  </si>
  <si>
    <t>QC-019326</t>
  </si>
  <si>
    <t>Comptabilité YL</t>
  </si>
  <si>
    <t>QC-019445</t>
  </si>
  <si>
    <t>Toiture Polaire</t>
  </si>
  <si>
    <t>QC-019441</t>
  </si>
  <si>
    <t>Récupération Delisle</t>
  </si>
  <si>
    <t>QC-019440</t>
  </si>
  <si>
    <t>Tel-Aide Québec</t>
  </si>
  <si>
    <t>QC-019439</t>
  </si>
  <si>
    <t>Delastek</t>
  </si>
  <si>
    <t>QC-019416</t>
  </si>
  <si>
    <t>QC-019410</t>
  </si>
  <si>
    <t>RGA compagnie de réassurance-vie du Canada</t>
  </si>
  <si>
    <t>QC-019409</t>
  </si>
  <si>
    <t>AGP Assurances</t>
  </si>
  <si>
    <t>QC-019484</t>
  </si>
  <si>
    <t>Caravane Films Productions</t>
  </si>
  <si>
    <t>QC-019470</t>
  </si>
  <si>
    <t>QC-019478</t>
  </si>
  <si>
    <t>Excellence Comptable</t>
  </si>
  <si>
    <t>QC-019488</t>
  </si>
  <si>
    <t>Pur Construction</t>
  </si>
  <si>
    <t>QC-019475</t>
  </si>
  <si>
    <t>Sébastien Paradis entrepreneur électricien</t>
  </si>
  <si>
    <t>QC-019481</t>
  </si>
  <si>
    <t>Urgences Toitures</t>
  </si>
  <si>
    <t>QC-019621</t>
  </si>
  <si>
    <t>AGENCE PUB</t>
  </si>
  <si>
    <t>Pourvoirie 3 ours</t>
  </si>
  <si>
    <t>QC-019524</t>
  </si>
  <si>
    <t>Électricité DJ inc</t>
  </si>
  <si>
    <t>QC-019517</t>
  </si>
  <si>
    <t>QC-019516</t>
  </si>
  <si>
    <t>Domaine Forget</t>
  </si>
  <si>
    <t>QC-019515</t>
  </si>
  <si>
    <t>QC-019503</t>
  </si>
  <si>
    <t>TOTAL(AVANTTAXES)</t>
  </si>
  <si>
    <t>QC-019655</t>
  </si>
  <si>
    <t>QC-019654</t>
  </si>
  <si>
    <t>Climaconfort</t>
  </si>
  <si>
    <t>QC-019653</t>
  </si>
  <si>
    <t>QC-019669</t>
  </si>
  <si>
    <t>Alliance des Ukrainiens de Québec</t>
  </si>
  <si>
    <t>QC-019671</t>
  </si>
  <si>
    <t>Gestilogis Gestion Immobilière</t>
  </si>
  <si>
    <t>QC-019693</t>
  </si>
  <si>
    <t>Centre coopératif de la petite enfance La chiffonnelle</t>
  </si>
  <si>
    <t>QC-019689</t>
  </si>
  <si>
    <t>QC-019701</t>
  </si>
  <si>
    <t>Fabrimet</t>
  </si>
  <si>
    <t>QC-019700</t>
  </si>
  <si>
    <t>GIT Portes &amp; Fenêtres en aluminium</t>
  </si>
  <si>
    <t>QC-019712</t>
  </si>
  <si>
    <t>ITI</t>
  </si>
  <si>
    <t>QC-019727</t>
  </si>
  <si>
    <t>QC-019726</t>
  </si>
  <si>
    <t>Botanix</t>
  </si>
  <si>
    <t>QC-019725</t>
  </si>
  <si>
    <t>Coulombe assurance immobilier</t>
  </si>
  <si>
    <t>QC-019736</t>
  </si>
  <si>
    <t>QC-019735</t>
  </si>
  <si>
    <t>QC-019731</t>
  </si>
  <si>
    <t>SFPQ</t>
  </si>
  <si>
    <t>QC-019753</t>
  </si>
  <si>
    <t>Lepelco Assurances inc</t>
  </si>
  <si>
    <t>QC-019749</t>
  </si>
  <si>
    <t>Centre de Recherche Saint-Louis</t>
  </si>
  <si>
    <t>QC-019763</t>
  </si>
  <si>
    <t>Conseil de quartier des Jésuites</t>
  </si>
  <si>
    <t>QC-019759</t>
  </si>
  <si>
    <t>QC-019756</t>
  </si>
  <si>
    <t>QC-019770</t>
  </si>
  <si>
    <t>QC-019769</t>
  </si>
  <si>
    <t>Écotone Gatineau</t>
  </si>
  <si>
    <t>QC-019801</t>
  </si>
  <si>
    <t>SIIIEQ</t>
  </si>
  <si>
    <t>QC-019794</t>
  </si>
  <si>
    <t>Association CFA Québec</t>
  </si>
  <si>
    <t>QC-019827</t>
  </si>
  <si>
    <t>Wio Culture Inc.</t>
  </si>
  <si>
    <t>QC-019824</t>
  </si>
  <si>
    <t>QC-019818</t>
  </si>
  <si>
    <t>QC-019842</t>
  </si>
  <si>
    <t>QC-019838</t>
  </si>
  <si>
    <t>Réparations Ferroviaires KLN inc.</t>
  </si>
  <si>
    <t>QC-019851</t>
  </si>
  <si>
    <t>QC-019849</t>
  </si>
  <si>
    <t>QC-019896</t>
  </si>
  <si>
    <t>Trudel Habitation</t>
  </si>
  <si>
    <t>QC-019888</t>
  </si>
  <si>
    <t>Club d'apnée sportive de Québec</t>
  </si>
  <si>
    <t>QC-019880</t>
  </si>
  <si>
    <t>CN-01142</t>
  </si>
  <si>
    <t>QC-019991</t>
  </si>
  <si>
    <t>Distillerie Stadaconé</t>
  </si>
  <si>
    <t>QC-019987</t>
  </si>
  <si>
    <t>QC-019980</t>
  </si>
  <si>
    <t>QC-020051</t>
  </si>
  <si>
    <t>Epuro</t>
  </si>
  <si>
    <t>QC-020048</t>
  </si>
  <si>
    <t>Bruno Marcotte</t>
  </si>
  <si>
    <t>QC-020076</t>
  </si>
  <si>
    <t>BIMOne</t>
  </si>
  <si>
    <t>QC-020082</t>
  </si>
  <si>
    <t>QC-020111</t>
  </si>
  <si>
    <t>Dominic Letendre</t>
  </si>
  <si>
    <t>QC-020107</t>
  </si>
  <si>
    <t>L'Intendant</t>
  </si>
  <si>
    <t>QC-020129</t>
  </si>
  <si>
    <t>Jardin Dion</t>
  </si>
  <si>
    <t>QC-020145</t>
  </si>
  <si>
    <t>Dentistes de la Cité</t>
  </si>
  <si>
    <t>QC-020210</t>
  </si>
  <si>
    <t>Enviro-Step Technologies</t>
  </si>
  <si>
    <t>QC-020206</t>
  </si>
  <si>
    <t>QC-020205</t>
  </si>
  <si>
    <t>Irrigation et éclairage FP</t>
  </si>
  <si>
    <t>QC-020202</t>
  </si>
  <si>
    <t>Mikaël GLEYZE</t>
  </si>
  <si>
    <t>QC-020188</t>
  </si>
  <si>
    <t>Gecko Bloc Inc</t>
  </si>
  <si>
    <t>QC-020177</t>
  </si>
  <si>
    <t>Groupe Canmec</t>
  </si>
  <si>
    <t>QC-020174</t>
  </si>
  <si>
    <t>Evelyne St-cyr</t>
  </si>
  <si>
    <t>QC-020204</t>
  </si>
  <si>
    <t>QC-020203</t>
  </si>
  <si>
    <t>Melyna Carbonneau</t>
  </si>
  <si>
    <t>QC-020197</t>
  </si>
  <si>
    <t>Odrey B</t>
  </si>
  <si>
    <t>QC-020192</t>
  </si>
  <si>
    <t>marie-christine k</t>
  </si>
  <si>
    <t>QC-020190</t>
  </si>
  <si>
    <t>Amelie Langlois</t>
  </si>
  <si>
    <t>QC-020189</t>
  </si>
  <si>
    <t>Cathy Landry</t>
  </si>
  <si>
    <t>QC-020187</t>
  </si>
  <si>
    <t>QC-020186</t>
  </si>
  <si>
    <t>Jason Clarke</t>
  </si>
  <si>
    <t>QC-020185</t>
  </si>
  <si>
    <t>Marie Fournier</t>
  </si>
  <si>
    <t>QC-020184</t>
  </si>
  <si>
    <t>Jean-Philippe Paquin</t>
  </si>
  <si>
    <t>QC-020182</t>
  </si>
  <si>
    <t>CN-01170</t>
  </si>
  <si>
    <t>CN-01164</t>
  </si>
  <si>
    <t>QC-020281</t>
  </si>
  <si>
    <t>FB Construction</t>
  </si>
  <si>
    <t>QC-020269</t>
  </si>
  <si>
    <t>Pavillon des sciences de l'éducation (Université Laval)</t>
  </si>
  <si>
    <t>QC-020266</t>
  </si>
  <si>
    <t>QC-020263</t>
  </si>
  <si>
    <t>QC-020262</t>
  </si>
  <si>
    <t>Les studios E2Plus</t>
  </si>
  <si>
    <t>QC-020260</t>
  </si>
  <si>
    <t>Université Laval - Congrès ÉDIQ</t>
  </si>
  <si>
    <t>QC-020250</t>
  </si>
  <si>
    <t>Sheila Brown</t>
  </si>
  <si>
    <t>QC-020256</t>
  </si>
  <si>
    <t>Sarah Turgeon</t>
  </si>
  <si>
    <t>QC-020243</t>
  </si>
  <si>
    <t>CN-01195</t>
  </si>
  <si>
    <t>CN-01194</t>
  </si>
  <si>
    <t>CN-01192</t>
  </si>
  <si>
    <t>CN-01189</t>
  </si>
  <si>
    <t>CN-01188</t>
  </si>
  <si>
    <t>CN-01187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</si>
</sst>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.00[$$]"/>
    <numFmt numFmtId="165" formatCode="_-* #,##0.00\ &quot;$&quot;_-;\-* #,##0.00\ &quot;$&quot;_-;_-* &quot;-&quot;??\ &quot;$&quot;_-;_-@"/>
    <numFmt numFmtId="166" formatCode="[$$]#,##0.00"/>
    <numFmt numFmtId="167" formatCode="dd/MM/yyyy"/>
    <numFmt numFmtId="168" formatCode="&quot;$&quot;#,##0.00"/>
    <numFmt numFmtId="169" formatCode="yyyy-mm-dd"/>
    <numFmt numFmtId="170" formatCode="dd-mm-yy"/>
  </numFmts>
  <fonts count="11">
    <font>
      <sz val="11.0"/>
      <color rgb="FF000000"/>
      <name val="Calibri"/>
    </font>
    <font>
      <b/>
      <sz val="11.0"/>
      <name val="Calibri"/>
    </font>
    <font/>
    <font>
      <sz val="11.0"/>
      <name val="Calibri"/>
    </font>
    <font>
      <b/>
      <sz val="11.0"/>
      <color rgb="FF000000"/>
      <name val="Calibri"/>
    </font>
    <font>
      <b/>
      <color rgb="FF000000"/>
      <name val="Arial"/>
    </font>
    <font>
      <b/>
      <sz val="12.0"/>
      <color rgb="FF000000"/>
      <name val="Calibri"/>
    </font>
    <font>
      <b/>
      <sz val="11.0"/>
      <color rgb="FF000000"/>
      <name val="Arial"/>
    </font>
    <font>
      <sz val="12.0"/>
      <name val="Calibri"/>
    </font>
    <font>
      <b/>
      <sz val="18.0"/>
      <name val="Calibri"/>
    </font>
    <font>
      <b/>
      <sz val="14.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A4C2F4"/>
        <bgColor rgb="FFA4C2F4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1" fillId="3" fontId="5" numFmtId="0" xfId="0" applyAlignment="1" applyBorder="1" applyFill="1" applyFont="1">
      <alignment horizontal="center" vertical="center"/>
    </xf>
    <xf borderId="4" fillId="2" fontId="6" numFmtId="0" xfId="0" applyAlignment="1" applyBorder="1" applyFont="1">
      <alignment horizontal="center" readingOrder="0" shrinkToFit="0" vertical="center" wrapText="1"/>
    </xf>
    <xf borderId="4" fillId="2" fontId="6" numFmtId="0" xfId="0" applyAlignment="1" applyBorder="1" applyFont="1">
      <alignment horizontal="center" shrinkToFit="0" vertical="center" wrapText="1"/>
    </xf>
    <xf borderId="5" fillId="2" fontId="6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readingOrder="0" vertical="center"/>
    </xf>
    <xf borderId="6" fillId="2" fontId="6" numFmtId="0" xfId="0" applyAlignment="1" applyBorder="1" applyFont="1">
      <alignment horizontal="center" readingOrder="0" shrinkToFit="0" vertical="center" wrapText="1"/>
    </xf>
    <xf borderId="7" fillId="0" fontId="3" numFmtId="164" xfId="0" applyAlignment="1" applyBorder="1" applyFont="1" applyNumberFormat="1">
      <alignment horizontal="center" readingOrder="0" vertical="center"/>
    </xf>
    <xf borderId="8" fillId="0" fontId="2" numFmtId="0" xfId="0" applyBorder="1" applyFont="1"/>
    <xf borderId="9" fillId="0" fontId="2" numFmtId="0" xfId="0" applyBorder="1" applyFont="1"/>
    <xf borderId="1" fillId="3" fontId="0" numFmtId="16" xfId="0" applyAlignment="1" applyBorder="1" applyFont="1" applyNumberFormat="1">
      <alignment horizontal="center" vertical="center"/>
    </xf>
    <xf borderId="5" fillId="0" fontId="3" numFmtId="2" xfId="0" applyAlignment="1" applyBorder="1" applyFont="1" applyNumberFormat="1">
      <alignment horizontal="center" vertical="center"/>
    </xf>
    <xf borderId="5" fillId="0" fontId="3" numFmtId="2" xfId="0" applyAlignment="1" applyBorder="1" applyFont="1" applyNumberFormat="1">
      <alignment horizontal="center"/>
    </xf>
    <xf borderId="5" fillId="0" fontId="3" numFmtId="10" xfId="0" applyAlignment="1" applyBorder="1" applyFont="1" applyNumberFormat="1">
      <alignment horizontal="center" vertical="bottom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4" fillId="0" fontId="2" numFmtId="0" xfId="0" applyBorder="1" applyFont="1"/>
    <xf borderId="0" fillId="0" fontId="5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10" fillId="0" fontId="3" numFmtId="2" xfId="0" applyAlignment="1" applyBorder="1" applyFont="1" applyNumberFormat="1">
      <alignment horizontal="center"/>
    </xf>
    <xf borderId="10" fillId="0" fontId="3" numFmtId="10" xfId="0" applyAlignment="1" applyBorder="1" applyFont="1" applyNumberFormat="1">
      <alignment horizontal="center" vertical="bottom"/>
    </xf>
    <xf borderId="0" fillId="0" fontId="0" numFmtId="16" xfId="0" applyAlignment="1" applyFont="1" applyNumberFormat="1">
      <alignment horizontal="center" vertical="center"/>
    </xf>
    <xf borderId="0" fillId="0" fontId="3" numFmtId="2" xfId="0" applyAlignment="1" applyFont="1" applyNumberFormat="1">
      <alignment horizontal="center" vertical="center"/>
    </xf>
    <xf borderId="6" fillId="2" fontId="6" numFmtId="0" xfId="0" applyAlignment="1" applyBorder="1" applyFont="1">
      <alignment horizontal="center" shrinkToFit="0" vertical="center" wrapText="1"/>
    </xf>
    <xf borderId="7" fillId="0" fontId="3" numFmtId="10" xfId="0" applyAlignment="1" applyBorder="1" applyFont="1" applyNumberFormat="1">
      <alignment horizontal="center" readingOrder="0" vertical="center"/>
    </xf>
    <xf borderId="1" fillId="3" fontId="6" numFmtId="0" xfId="0" applyAlignment="1" applyBorder="1" applyFont="1">
      <alignment horizontal="center" vertical="center"/>
    </xf>
    <xf borderId="5" fillId="4" fontId="6" numFmtId="165" xfId="0" applyAlignment="1" applyBorder="1" applyFill="1" applyFont="1" applyNumberFormat="1">
      <alignment horizontal="center" vertical="center"/>
    </xf>
    <xf borderId="5" fillId="4" fontId="6" numFmtId="10" xfId="0" applyAlignment="1" applyBorder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3" numFmtId="165" xfId="0" applyAlignment="1" applyFont="1" applyNumberFormat="1">
      <alignment horizontal="center" vertical="center"/>
    </xf>
    <xf borderId="12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2" fillId="5" fontId="1" numFmtId="0" xfId="0" applyAlignment="1" applyBorder="1" applyFill="1" applyFont="1">
      <alignment horizontal="center" vertical="center"/>
    </xf>
    <xf borderId="2" fillId="6" fontId="4" numFmtId="0" xfId="0" applyAlignment="1" applyBorder="1" applyFill="1" applyFont="1">
      <alignment horizontal="center" vertical="center"/>
    </xf>
    <xf borderId="2" fillId="7" fontId="4" numFmtId="0" xfId="0" applyAlignment="1" applyBorder="1" applyFill="1" applyFont="1">
      <alignment horizontal="center" vertical="center"/>
    </xf>
    <xf borderId="2" fillId="8" fontId="4" numFmtId="0" xfId="0" applyAlignment="1" applyBorder="1" applyFill="1" applyFont="1">
      <alignment horizontal="center" readingOrder="0" vertical="center"/>
    </xf>
    <xf borderId="2" fillId="9" fontId="4" numFmtId="0" xfId="0" applyAlignment="1" applyBorder="1" applyFill="1" applyFont="1">
      <alignment horizontal="center" readingOrder="0" vertical="center"/>
    </xf>
    <xf borderId="2" fillId="10" fontId="4" numFmtId="0" xfId="0" applyAlignment="1" applyBorder="1" applyFill="1" applyFont="1">
      <alignment horizontal="center" readingOrder="0" vertical="center"/>
    </xf>
    <xf borderId="11" fillId="3" fontId="7" numFmtId="0" xfId="0" applyAlignment="1" applyBorder="1" applyFont="1">
      <alignment horizontal="center" vertical="center"/>
    </xf>
    <xf borderId="11" fillId="3" fontId="0" numFmtId="16" xfId="0" applyAlignment="1" applyBorder="1" applyFont="1" applyNumberFormat="1">
      <alignment horizontal="center" vertical="center"/>
    </xf>
    <xf borderId="4" fillId="0" fontId="3" numFmtId="2" xfId="0" applyAlignment="1" applyBorder="1" applyFont="1" applyNumberFormat="1">
      <alignment horizontal="center" vertical="bottom"/>
    </xf>
    <xf borderId="4" fillId="0" fontId="3" numFmtId="2" xfId="0" applyAlignment="1" applyBorder="1" applyFont="1" applyNumberFormat="1">
      <alignment horizontal="center" vertical="center"/>
    </xf>
    <xf borderId="4" fillId="0" fontId="3" numFmtId="4" xfId="0" applyAlignment="1" applyBorder="1" applyFont="1" applyNumberFormat="1">
      <alignment horizontal="center" vertical="center"/>
    </xf>
    <xf borderId="4" fillId="0" fontId="3" numFmtId="10" xfId="0" applyAlignment="1" applyBorder="1" applyFont="1" applyNumberFormat="1">
      <alignment horizontal="center" vertical="center"/>
    </xf>
    <xf borderId="4" fillId="0" fontId="3" numFmtId="4" xfId="0" applyAlignment="1" applyBorder="1" applyFont="1" applyNumberFormat="1">
      <alignment horizontal="center" vertical="bottom"/>
    </xf>
    <xf borderId="4" fillId="0" fontId="3" numFmtId="4" xfId="0" applyAlignment="1" applyBorder="1" applyFont="1" applyNumberFormat="1">
      <alignment horizontal="center" readingOrder="0" vertical="center"/>
    </xf>
    <xf borderId="11" fillId="3" fontId="6" numFmtId="0" xfId="0" applyAlignment="1" applyBorder="1" applyFont="1">
      <alignment horizontal="center" vertical="center"/>
    </xf>
    <xf borderId="4" fillId="4" fontId="6" numFmtId="165" xfId="0" applyAlignment="1" applyBorder="1" applyFont="1" applyNumberFormat="1">
      <alignment horizontal="center" vertical="center"/>
    </xf>
    <xf borderId="4" fillId="4" fontId="6" numFmtId="10" xfId="0" applyAlignment="1" applyBorder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3" numFmtId="4" xfId="0" applyAlignment="1" applyFont="1" applyNumberFormat="1">
      <alignment horizontal="center" readingOrder="0" vertical="center"/>
    </xf>
    <xf borderId="0" fillId="0" fontId="3" numFmtId="4" xfId="0" applyAlignment="1" applyFont="1" applyNumberFormat="1">
      <alignment horizontal="center" vertical="bottom"/>
    </xf>
    <xf borderId="0" fillId="0" fontId="3" numFmtId="2" xfId="0" applyAlignment="1" applyFont="1" applyNumberFormat="1">
      <alignment horizontal="center" readingOrder="0" vertical="center"/>
    </xf>
    <xf borderId="0" fillId="0" fontId="3" numFmtId="4" xfId="0" applyAlignment="1" applyFont="1" applyNumberFormat="1">
      <alignment horizontal="center"/>
    </xf>
    <xf borderId="0" fillId="0" fontId="1" numFmtId="0" xfId="0" applyAlignment="1" applyFont="1">
      <alignment horizontal="center" vertical="center"/>
    </xf>
    <xf borderId="0" fillId="5" fontId="1" numFmtId="0" xfId="0" applyAlignment="1" applyFont="1">
      <alignment horizontal="center" vertical="center"/>
    </xf>
    <xf borderId="0" fillId="6" fontId="1" numFmtId="0" xfId="0" applyAlignment="1" applyFont="1">
      <alignment horizontal="center" vertical="center"/>
    </xf>
    <xf borderId="0" fillId="7" fontId="1" numFmtId="0" xfId="0" applyAlignment="1" applyFont="1">
      <alignment horizontal="center" vertical="center"/>
    </xf>
    <xf borderId="0" fillId="8" fontId="1" numFmtId="0" xfId="0" applyAlignment="1" applyFont="1">
      <alignment horizontal="center" readingOrder="0" vertical="center"/>
    </xf>
    <xf borderId="0" fillId="9" fontId="1" numFmtId="0" xfId="0" applyAlignment="1" applyFont="1">
      <alignment horizontal="center" readingOrder="0" vertical="center"/>
    </xf>
    <xf borderId="0" fillId="10" fontId="1" numFmtId="0" xfId="0" applyAlignment="1" applyFont="1">
      <alignment horizontal="center" readingOrder="0" vertical="center"/>
    </xf>
    <xf borderId="0" fillId="0" fontId="3" numFmtId="164" xfId="0" applyAlignment="1" applyFont="1" applyNumberFormat="1">
      <alignment horizontal="center" vertical="center"/>
    </xf>
    <xf borderId="0" fillId="0" fontId="9" numFmtId="164" xfId="0" applyAlignment="1" applyFont="1" applyNumberFormat="1">
      <alignment horizontal="center" vertical="center"/>
    </xf>
    <xf borderId="0" fillId="5" fontId="10" numFmtId="164" xfId="0" applyAlignment="1" applyFont="1" applyNumberFormat="1">
      <alignment horizontal="center" vertical="center"/>
    </xf>
    <xf borderId="0" fillId="6" fontId="10" numFmtId="164" xfId="0" applyAlignment="1" applyFont="1" applyNumberFormat="1">
      <alignment horizontal="center" vertical="center"/>
    </xf>
    <xf borderId="0" fillId="7" fontId="10" numFmtId="164" xfId="0" applyAlignment="1" applyFont="1" applyNumberFormat="1">
      <alignment horizontal="center" vertical="center"/>
    </xf>
    <xf borderId="0" fillId="8" fontId="10" numFmtId="164" xfId="0" applyAlignment="1" applyFont="1" applyNumberFormat="1">
      <alignment horizontal="center" vertical="center"/>
    </xf>
    <xf borderId="0" fillId="9" fontId="10" numFmtId="164" xfId="0" applyAlignment="1" applyFont="1" applyNumberFormat="1">
      <alignment horizontal="center" vertical="center"/>
    </xf>
    <xf borderId="0" fillId="10" fontId="10" numFmtId="164" xfId="0" applyAlignment="1" applyFont="1" applyNumberFormat="1">
      <alignment horizontal="center" vertical="center"/>
    </xf>
    <xf borderId="0" fillId="0" fontId="1" numFmtId="49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0" numFmtId="0" xfId="0" applyAlignment="1" applyFont="1">
      <alignment horizontal="center" readingOrder="0" shrinkToFit="0" vertical="bottom" wrapText="0"/>
    </xf>
    <xf borderId="0" fillId="0" fontId="0" numFmtId="166" xfId="0" applyAlignment="1" applyFont="1" applyNumberFormat="1">
      <alignment horizontal="center" readingOrder="0" shrinkToFit="0" vertical="bottom" wrapText="0"/>
    </xf>
    <xf borderId="0" fillId="0" fontId="0" numFmtId="3" xfId="0" applyAlignment="1" applyFont="1" applyNumberFormat="1">
      <alignment horizontal="center" readingOrder="0" shrinkToFit="0" vertical="bottom" wrapText="0"/>
    </xf>
    <xf borderId="0" fillId="0" fontId="0" numFmtId="167" xfId="0" applyAlignment="1" applyFont="1" applyNumberFormat="1">
      <alignment horizontal="center" readingOrder="0" shrinkToFit="0" vertical="bottom" wrapText="0"/>
    </xf>
    <xf borderId="0" fillId="0" fontId="0" numFmtId="168" xfId="0" applyAlignment="1" applyFont="1" applyNumberFormat="1">
      <alignment horizontal="center" readingOrder="0" shrinkToFit="0" vertical="bottom" wrapText="0"/>
    </xf>
    <xf borderId="0" fillId="0" fontId="3" numFmtId="169" xfId="0" applyAlignment="1" applyFont="1" applyNumberFormat="1">
      <alignment horizontal="center" vertical="center"/>
    </xf>
    <xf borderId="0" fillId="0" fontId="3" numFmtId="168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164" xfId="0" applyFont="1" applyNumberFormat="1"/>
    <xf borderId="0" fillId="0" fontId="1" numFmtId="49" xfId="0" applyAlignment="1" applyFont="1" applyNumberFormat="1">
      <alignment horizontal="center" readingOrder="0" vertical="center"/>
    </xf>
    <xf borderId="0" fillId="0" fontId="0" numFmtId="169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center" wrapText="1"/>
    </xf>
    <xf borderId="0" fillId="0" fontId="3" numFmtId="3" xfId="0" applyAlignment="1" applyFont="1" applyNumberFormat="1">
      <alignment horizontal="center" readingOrder="0" vertical="center"/>
    </xf>
    <xf borderId="0" fillId="0" fontId="3" numFmtId="167" xfId="0" applyAlignment="1" applyFont="1" applyNumberFormat="1">
      <alignment horizontal="center" readingOrder="0" vertical="center"/>
    </xf>
    <xf borderId="0" fillId="0" fontId="3" numFmtId="168" xfId="0" applyAlignment="1" applyFont="1" applyNumberFormat="1">
      <alignment horizontal="center" readingOrder="0" vertical="center"/>
    </xf>
    <xf borderId="0" fillId="0" fontId="3" numFmtId="170" xfId="0" applyAlignment="1" applyFont="1" applyNumberFormat="1">
      <alignment horizontal="center" shrinkToFit="0" vertical="center" wrapText="1"/>
    </xf>
    <xf borderId="0" fillId="0" fontId="3" numFmtId="166" xfId="0" applyAlignment="1" applyFont="1" applyNumberFormat="1">
      <alignment horizontal="center" vertical="center"/>
    </xf>
    <xf borderId="0" fillId="0" fontId="3" numFmtId="3" xfId="0" applyAlignment="1" applyFont="1" applyNumberFormat="1">
      <alignment horizontal="center" vertical="center"/>
    </xf>
    <xf borderId="0" fillId="0" fontId="3" numFmtId="167" xfId="0" applyAlignment="1" applyFont="1" applyNumberFormat="1">
      <alignment horizontal="center" vertical="center"/>
    </xf>
    <xf borderId="0" fillId="0" fontId="3" numFmtId="169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33" width="16.43"/>
  </cols>
  <sheetData>
    <row r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>
      <c r="A2" s="5"/>
      <c r="B2" s="3"/>
      <c r="C2" s="6" t="s">
        <v>1</v>
      </c>
      <c r="D2" s="2"/>
      <c r="E2" s="2"/>
      <c r="F2" s="2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>
      <c r="A3" s="7" t="s">
        <v>2</v>
      </c>
      <c r="B3" s="3"/>
      <c r="C3" s="8">
        <v>2025.0</v>
      </c>
      <c r="D3" s="8">
        <v>2026.0</v>
      </c>
      <c r="E3" s="9"/>
      <c r="F3" s="10" t="s">
        <v>3</v>
      </c>
      <c r="G3" s="10" t="s">
        <v>4</v>
      </c>
      <c r="H3" s="11"/>
      <c r="I3" s="4"/>
      <c r="J3" s="4"/>
      <c r="K3" s="12" t="s">
        <v>5</v>
      </c>
      <c r="L3" s="13">
        <f>D16</f>
        <v>154057.52</v>
      </c>
      <c r="M3" s="14"/>
      <c r="N3" s="15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>
      <c r="A4" s="16" t="s">
        <v>6</v>
      </c>
      <c r="B4" s="3"/>
      <c r="C4" s="17"/>
      <c r="D4" s="17">
        <f>Janvier!B4</f>
        <v>26005.02</v>
      </c>
      <c r="E4" s="18"/>
      <c r="F4" s="18">
        <f t="shared" ref="F4:F15" si="1">E21+I21+M21+Q21+U21+Y21</f>
        <v>18000</v>
      </c>
      <c r="G4" s="19">
        <f t="shared" ref="G4:G16" si="2">D4/F4</f>
        <v>1.444723333</v>
      </c>
      <c r="H4" s="4"/>
      <c r="I4" s="4"/>
      <c r="J4" s="4"/>
      <c r="K4" s="20"/>
      <c r="L4" s="21"/>
      <c r="M4" s="22"/>
      <c r="N4" s="2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24"/>
      <c r="AF4" s="25"/>
      <c r="AG4" s="4"/>
    </row>
    <row r="5">
      <c r="A5" s="16" t="s">
        <v>7</v>
      </c>
      <c r="B5" s="3"/>
      <c r="C5" s="17"/>
      <c r="D5" s="17">
        <f>'Février'!B4</f>
        <v>41347.68</v>
      </c>
      <c r="E5" s="26"/>
      <c r="F5" s="18">
        <f t="shared" si="1"/>
        <v>31000</v>
      </c>
      <c r="G5" s="27">
        <f t="shared" si="2"/>
        <v>1.333796129</v>
      </c>
      <c r="H5" s="4"/>
      <c r="I5" s="4"/>
      <c r="J5" s="4"/>
      <c r="K5" s="12" t="s">
        <v>8</v>
      </c>
      <c r="L5" s="13">
        <f>E33+I33+M33+Q33+U33+Y33</f>
        <v>400000</v>
      </c>
      <c r="M5" s="14"/>
      <c r="N5" s="15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28"/>
      <c r="AF5" s="29"/>
      <c r="AG5" s="4"/>
    </row>
    <row r="6">
      <c r="A6" s="16" t="s">
        <v>9</v>
      </c>
      <c r="B6" s="3"/>
      <c r="C6" s="17"/>
      <c r="D6" s="17">
        <f>Mars!B4</f>
        <v>53967.67</v>
      </c>
      <c r="E6" s="26"/>
      <c r="F6" s="18">
        <f t="shared" si="1"/>
        <v>36000</v>
      </c>
      <c r="G6" s="27">
        <f t="shared" si="2"/>
        <v>1.499101944</v>
      </c>
      <c r="H6" s="4"/>
      <c r="I6" s="4"/>
      <c r="J6" s="4"/>
      <c r="K6" s="20"/>
      <c r="L6" s="21"/>
      <c r="M6" s="22"/>
      <c r="N6" s="23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28"/>
      <c r="AF6" s="29"/>
      <c r="AG6" s="4"/>
    </row>
    <row r="7">
      <c r="A7" s="16" t="s">
        <v>10</v>
      </c>
      <c r="B7" s="3"/>
      <c r="C7" s="17"/>
      <c r="D7" s="17">
        <f>Avril!B4</f>
        <v>32737.15</v>
      </c>
      <c r="E7" s="26"/>
      <c r="F7" s="18">
        <f t="shared" si="1"/>
        <v>33000</v>
      </c>
      <c r="G7" s="27">
        <f t="shared" si="2"/>
        <v>0.9920348485</v>
      </c>
      <c r="H7" s="4"/>
      <c r="I7" s="4"/>
      <c r="J7" s="4"/>
      <c r="K7" s="30" t="s">
        <v>4</v>
      </c>
      <c r="L7" s="31">
        <f>L3/L5</f>
        <v>0.3851438</v>
      </c>
      <c r="M7" s="14"/>
      <c r="N7" s="15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28"/>
      <c r="AF7" s="29"/>
      <c r="AG7" s="4"/>
    </row>
    <row r="8">
      <c r="A8" s="16" t="s">
        <v>11</v>
      </c>
      <c r="B8" s="3"/>
      <c r="C8" s="17"/>
      <c r="D8" s="17">
        <f>Mai!B4</f>
        <v>0</v>
      </c>
      <c r="E8" s="26"/>
      <c r="F8" s="18">
        <f t="shared" si="1"/>
        <v>48000</v>
      </c>
      <c r="G8" s="27">
        <f t="shared" si="2"/>
        <v>0</v>
      </c>
      <c r="H8" s="4"/>
      <c r="I8" s="4"/>
      <c r="J8" s="4"/>
      <c r="K8" s="20"/>
      <c r="L8" s="21"/>
      <c r="M8" s="22"/>
      <c r="N8" s="23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28"/>
      <c r="AF8" s="29"/>
      <c r="AG8" s="4"/>
    </row>
    <row r="9">
      <c r="A9" s="16" t="s">
        <v>12</v>
      </c>
      <c r="B9" s="3"/>
      <c r="C9" s="17"/>
      <c r="D9" s="17">
        <f>Juin!B4</f>
        <v>0</v>
      </c>
      <c r="E9" s="26"/>
      <c r="F9" s="18">
        <f t="shared" si="1"/>
        <v>28000</v>
      </c>
      <c r="G9" s="27">
        <f t="shared" si="2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28"/>
      <c r="AF9" s="29"/>
      <c r="AG9" s="4"/>
    </row>
    <row r="10">
      <c r="A10" s="16" t="s">
        <v>13</v>
      </c>
      <c r="B10" s="3"/>
      <c r="C10" s="17"/>
      <c r="D10" s="17">
        <f>Juillet!B4</f>
        <v>0</v>
      </c>
      <c r="E10" s="26"/>
      <c r="F10" s="18">
        <f t="shared" si="1"/>
        <v>29000</v>
      </c>
      <c r="G10" s="27">
        <f t="shared" si="2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28"/>
      <c r="AF10" s="29"/>
      <c r="AG10" s="4"/>
    </row>
    <row r="11">
      <c r="A11" s="16" t="s">
        <v>14</v>
      </c>
      <c r="B11" s="3"/>
      <c r="C11" s="17"/>
      <c r="D11" s="17">
        <f>'Août'!B4</f>
        <v>0</v>
      </c>
      <c r="E11" s="26"/>
      <c r="F11" s="18">
        <f t="shared" si="1"/>
        <v>32000</v>
      </c>
      <c r="G11" s="27">
        <f t="shared" si="2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28"/>
      <c r="AF11" s="29"/>
      <c r="AG11" s="4"/>
    </row>
    <row r="12">
      <c r="A12" s="16" t="s">
        <v>15</v>
      </c>
      <c r="B12" s="3"/>
      <c r="C12" s="17"/>
      <c r="D12" s="17">
        <f>Septembre!B4</f>
        <v>0</v>
      </c>
      <c r="E12" s="26"/>
      <c r="F12" s="18">
        <f t="shared" si="1"/>
        <v>44000</v>
      </c>
      <c r="G12" s="27">
        <f t="shared" si="2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28"/>
      <c r="AF12" s="29"/>
      <c r="AG12" s="4"/>
    </row>
    <row r="13">
      <c r="A13" s="16" t="s">
        <v>16</v>
      </c>
      <c r="B13" s="3"/>
      <c r="C13" s="17"/>
      <c r="D13" s="17">
        <f>Octobre!B4</f>
        <v>0</v>
      </c>
      <c r="E13" s="26"/>
      <c r="F13" s="18">
        <f t="shared" si="1"/>
        <v>46000</v>
      </c>
      <c r="G13" s="27">
        <f t="shared" si="2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28"/>
      <c r="AF13" s="29"/>
      <c r="AG13" s="4"/>
    </row>
    <row r="14">
      <c r="A14" s="16" t="s">
        <v>17</v>
      </c>
      <c r="B14" s="3"/>
      <c r="C14" s="17"/>
      <c r="D14" s="17">
        <f>Novembre!B4</f>
        <v>0</v>
      </c>
      <c r="E14" s="26"/>
      <c r="F14" s="18">
        <f t="shared" si="1"/>
        <v>40000</v>
      </c>
      <c r="G14" s="27">
        <f t="shared" si="2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28"/>
      <c r="AF14" s="29"/>
      <c r="AG14" s="4"/>
    </row>
    <row r="15">
      <c r="A15" s="16" t="s">
        <v>18</v>
      </c>
      <c r="B15" s="3"/>
      <c r="C15" s="17"/>
      <c r="D15" s="17">
        <f>'Décembre'!B4</f>
        <v>0</v>
      </c>
      <c r="E15" s="26"/>
      <c r="F15" s="18">
        <f t="shared" si="1"/>
        <v>15000</v>
      </c>
      <c r="G15" s="27">
        <f t="shared" si="2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28"/>
      <c r="AF15" s="29"/>
      <c r="AG15" s="4"/>
    </row>
    <row r="16">
      <c r="A16" s="32" t="s">
        <v>1</v>
      </c>
      <c r="B16" s="3"/>
      <c r="C16" s="33">
        <f t="shared" ref="C16:D16" si="3">SUM(C4:C15)</f>
        <v>0</v>
      </c>
      <c r="D16" s="33">
        <f t="shared" si="3"/>
        <v>154057.52</v>
      </c>
      <c r="E16" s="33"/>
      <c r="F16" s="33">
        <f>SUM(F4:F15)</f>
        <v>400000</v>
      </c>
      <c r="G16" s="34">
        <f t="shared" si="2"/>
        <v>0.3851438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28"/>
      <c r="AF16" s="29"/>
      <c r="AG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35"/>
      <c r="AF17" s="36"/>
      <c r="AG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>
      <c r="A19" s="37"/>
      <c r="B19" s="38"/>
      <c r="C19" s="39" t="s">
        <v>19</v>
      </c>
      <c r="D19" s="2"/>
      <c r="E19" s="2"/>
      <c r="F19" s="3"/>
      <c r="G19" s="40" t="s">
        <v>20</v>
      </c>
      <c r="H19" s="2"/>
      <c r="I19" s="2"/>
      <c r="J19" s="3"/>
      <c r="K19" s="41" t="s">
        <v>21</v>
      </c>
      <c r="L19" s="2"/>
      <c r="M19" s="2"/>
      <c r="N19" s="3"/>
      <c r="O19" s="42" t="s">
        <v>22</v>
      </c>
      <c r="P19" s="2"/>
      <c r="Q19" s="2"/>
      <c r="R19" s="3"/>
      <c r="S19" s="43" t="s">
        <v>23</v>
      </c>
      <c r="T19" s="2"/>
      <c r="U19" s="2"/>
      <c r="V19" s="3"/>
      <c r="W19" s="44" t="s">
        <v>24</v>
      </c>
      <c r="X19" s="2"/>
      <c r="Y19" s="2"/>
      <c r="Z19" s="3"/>
      <c r="AA19" s="4"/>
      <c r="AB19" s="4"/>
      <c r="AC19" s="4"/>
      <c r="AD19" s="4"/>
      <c r="AE19" s="4"/>
      <c r="AF19" s="4"/>
      <c r="AG19" s="4"/>
    </row>
    <row r="20">
      <c r="A20" s="45" t="s">
        <v>2</v>
      </c>
      <c r="B20" s="23"/>
      <c r="C20" s="8">
        <v>2025.0</v>
      </c>
      <c r="D20" s="8">
        <v>2026.0</v>
      </c>
      <c r="E20" s="8" t="s">
        <v>3</v>
      </c>
      <c r="F20" s="9" t="s">
        <v>4</v>
      </c>
      <c r="G20" s="8">
        <v>2025.0</v>
      </c>
      <c r="H20" s="8">
        <v>2026.0</v>
      </c>
      <c r="I20" s="8" t="s">
        <v>3</v>
      </c>
      <c r="J20" s="9" t="s">
        <v>4</v>
      </c>
      <c r="K20" s="8">
        <v>2025.0</v>
      </c>
      <c r="L20" s="8">
        <v>2026.0</v>
      </c>
      <c r="M20" s="8" t="s">
        <v>3</v>
      </c>
      <c r="N20" s="9" t="s">
        <v>4</v>
      </c>
      <c r="O20" s="8">
        <v>2025.0</v>
      </c>
      <c r="P20" s="8">
        <v>2026.0</v>
      </c>
      <c r="Q20" s="8" t="s">
        <v>3</v>
      </c>
      <c r="R20" s="9" t="s">
        <v>4</v>
      </c>
      <c r="S20" s="8">
        <v>2025.0</v>
      </c>
      <c r="T20" s="8">
        <v>2026.0</v>
      </c>
      <c r="U20" s="8" t="s">
        <v>3</v>
      </c>
      <c r="V20" s="9" t="s">
        <v>4</v>
      </c>
      <c r="W20" s="8">
        <v>2025.0</v>
      </c>
      <c r="X20" s="8">
        <v>2026.0</v>
      </c>
      <c r="Y20" s="8" t="s">
        <v>3</v>
      </c>
      <c r="Z20" s="9" t="s">
        <v>4</v>
      </c>
      <c r="AA20" s="4"/>
      <c r="AB20" s="4"/>
      <c r="AC20" s="4"/>
      <c r="AD20" s="4"/>
      <c r="AE20" s="4"/>
      <c r="AF20" s="4"/>
      <c r="AG20" s="4"/>
    </row>
    <row r="21">
      <c r="A21" s="46" t="s">
        <v>6</v>
      </c>
      <c r="B21" s="23"/>
      <c r="C21" s="47"/>
      <c r="D21" s="48">
        <f>Janvier!C4</f>
        <v>0</v>
      </c>
      <c r="E21" s="49"/>
      <c r="F21" s="50" t="str">
        <f t="shared" ref="F21:F33" si="4">D21/E21</f>
        <v>#DIV/0!</v>
      </c>
      <c r="G21" s="47"/>
      <c r="H21" s="48">
        <f>Janvier!D4</f>
        <v>26005.02</v>
      </c>
      <c r="I21" s="51">
        <v>18000.0</v>
      </c>
      <c r="J21" s="50">
        <f t="shared" ref="J21:J33" si="5">H21/I21</f>
        <v>1.444723333</v>
      </c>
      <c r="K21" s="47"/>
      <c r="L21" s="48">
        <f>Janvier!E4</f>
        <v>0</v>
      </c>
      <c r="M21" s="49"/>
      <c r="N21" s="50" t="str">
        <f t="shared" ref="N21:N33" si="6">L21/M21</f>
        <v>#DIV/0!</v>
      </c>
      <c r="O21" s="47"/>
      <c r="P21" s="48">
        <f>Janvier!F4</f>
        <v>0</v>
      </c>
      <c r="Q21" s="49"/>
      <c r="R21" s="50" t="str">
        <f t="shared" ref="R21:R33" si="7">P21/Q21</f>
        <v>#DIV/0!</v>
      </c>
      <c r="S21" s="47"/>
      <c r="T21" s="48">
        <f>Janvier!G4</f>
        <v>0</v>
      </c>
      <c r="U21" s="48"/>
      <c r="V21" s="50" t="str">
        <f t="shared" ref="V21:V33" si="8">T21/U21</f>
        <v>#DIV/0!</v>
      </c>
      <c r="W21" s="47"/>
      <c r="X21" s="48" t="str">
        <f>Janvier!K4</f>
        <v/>
      </c>
      <c r="Y21" s="48"/>
      <c r="Z21" s="50" t="str">
        <f t="shared" ref="Z21:Z33" si="9">X21/Y21</f>
        <v>#DIV/0!</v>
      </c>
      <c r="AA21" s="4"/>
      <c r="AB21" s="4"/>
      <c r="AC21" s="4"/>
      <c r="AD21" s="4"/>
      <c r="AE21" s="4"/>
      <c r="AF21" s="4"/>
      <c r="AG21" s="4"/>
    </row>
    <row r="22">
      <c r="A22" s="46" t="s">
        <v>7</v>
      </c>
      <c r="B22" s="23"/>
      <c r="C22" s="48"/>
      <c r="D22" s="48">
        <f>'Février'!C4</f>
        <v>0</v>
      </c>
      <c r="E22" s="52"/>
      <c r="F22" s="50" t="str">
        <f t="shared" si="4"/>
        <v>#DIV/0!</v>
      </c>
      <c r="G22" s="48"/>
      <c r="H22" s="48">
        <f>'Février'!D4</f>
        <v>41097.68</v>
      </c>
      <c r="I22" s="51">
        <v>31000.0</v>
      </c>
      <c r="J22" s="50">
        <f t="shared" si="5"/>
        <v>1.325731613</v>
      </c>
      <c r="K22" s="48"/>
      <c r="L22" s="48">
        <f>'Février'!E4</f>
        <v>0</v>
      </c>
      <c r="M22" s="52"/>
      <c r="N22" s="50" t="str">
        <f t="shared" si="6"/>
        <v>#DIV/0!</v>
      </c>
      <c r="O22" s="48"/>
      <c r="P22" s="48">
        <f>'Février'!F4</f>
        <v>250</v>
      </c>
      <c r="Q22" s="52"/>
      <c r="R22" s="50" t="str">
        <f t="shared" si="7"/>
        <v>#DIV/0!</v>
      </c>
      <c r="S22" s="48"/>
      <c r="T22" s="48">
        <f>'Février'!G4</f>
        <v>0</v>
      </c>
      <c r="U22" s="48"/>
      <c r="V22" s="50" t="str">
        <f t="shared" si="8"/>
        <v>#DIV/0!</v>
      </c>
      <c r="W22" s="48"/>
      <c r="X22" s="48" t="str">
        <f>'Février'!K4</f>
        <v/>
      </c>
      <c r="Y22" s="48"/>
      <c r="Z22" s="50" t="str">
        <f t="shared" si="9"/>
        <v>#DIV/0!</v>
      </c>
      <c r="AA22" s="4"/>
      <c r="AB22" s="4"/>
      <c r="AC22" s="4"/>
      <c r="AD22" s="4"/>
      <c r="AE22" s="4"/>
      <c r="AF22" s="4"/>
      <c r="AG22" s="4"/>
    </row>
    <row r="23">
      <c r="A23" s="46" t="s">
        <v>9</v>
      </c>
      <c r="B23" s="23"/>
      <c r="C23" s="48"/>
      <c r="D23" s="48">
        <f>Mars!C4</f>
        <v>0</v>
      </c>
      <c r="E23" s="52"/>
      <c r="F23" s="50" t="str">
        <f t="shared" si="4"/>
        <v>#DIV/0!</v>
      </c>
      <c r="G23" s="48"/>
      <c r="H23" s="48">
        <f>Mars!D4</f>
        <v>53967.67</v>
      </c>
      <c r="I23" s="51">
        <v>36000.0</v>
      </c>
      <c r="J23" s="50">
        <f t="shared" si="5"/>
        <v>1.499101944</v>
      </c>
      <c r="K23" s="48"/>
      <c r="L23" s="48">
        <f>Mars!E4</f>
        <v>0</v>
      </c>
      <c r="M23" s="52"/>
      <c r="N23" s="50" t="str">
        <f t="shared" si="6"/>
        <v>#DIV/0!</v>
      </c>
      <c r="O23" s="48"/>
      <c r="P23" s="48">
        <f>Mars!F4</f>
        <v>0</v>
      </c>
      <c r="Q23" s="52"/>
      <c r="R23" s="50" t="str">
        <f t="shared" si="7"/>
        <v>#DIV/0!</v>
      </c>
      <c r="S23" s="48"/>
      <c r="T23" s="48">
        <f>Mars!G4</f>
        <v>0</v>
      </c>
      <c r="U23" s="48"/>
      <c r="V23" s="50" t="str">
        <f t="shared" si="8"/>
        <v>#DIV/0!</v>
      </c>
      <c r="W23" s="48"/>
      <c r="X23" s="48" t="str">
        <f>Mars!K4</f>
        <v/>
      </c>
      <c r="Y23" s="48"/>
      <c r="Z23" s="50" t="str">
        <f t="shared" si="9"/>
        <v>#DIV/0!</v>
      </c>
      <c r="AA23" s="4"/>
      <c r="AB23" s="4"/>
      <c r="AC23" s="4"/>
      <c r="AD23" s="4"/>
      <c r="AE23" s="4"/>
      <c r="AF23" s="4"/>
      <c r="AG23" s="4"/>
    </row>
    <row r="24">
      <c r="A24" s="46" t="s">
        <v>10</v>
      </c>
      <c r="B24" s="23"/>
      <c r="C24" s="48"/>
      <c r="D24" s="48">
        <f>Avril!C4</f>
        <v>0</v>
      </c>
      <c r="E24" s="52"/>
      <c r="F24" s="50" t="str">
        <f t="shared" si="4"/>
        <v>#DIV/0!</v>
      </c>
      <c r="G24" s="48"/>
      <c r="H24" s="48">
        <f>Avril!D4</f>
        <v>32737.15</v>
      </c>
      <c r="I24" s="51">
        <v>33000.0</v>
      </c>
      <c r="J24" s="50">
        <f t="shared" si="5"/>
        <v>0.9920348485</v>
      </c>
      <c r="K24" s="48"/>
      <c r="L24" s="48">
        <f>Avril!E4</f>
        <v>0</v>
      </c>
      <c r="M24" s="52"/>
      <c r="N24" s="50" t="str">
        <f t="shared" si="6"/>
        <v>#DIV/0!</v>
      </c>
      <c r="O24" s="48"/>
      <c r="P24" s="48">
        <f>Avril!F4</f>
        <v>0</v>
      </c>
      <c r="Q24" s="52"/>
      <c r="R24" s="50" t="str">
        <f t="shared" si="7"/>
        <v>#DIV/0!</v>
      </c>
      <c r="S24" s="48"/>
      <c r="T24" s="48">
        <f>Avril!G4</f>
        <v>0</v>
      </c>
      <c r="U24" s="48"/>
      <c r="V24" s="50" t="str">
        <f t="shared" si="8"/>
        <v>#DIV/0!</v>
      </c>
      <c r="W24" s="48"/>
      <c r="X24" s="48" t="str">
        <f>Avril!K4</f>
        <v/>
      </c>
      <c r="Y24" s="48"/>
      <c r="Z24" s="50" t="str">
        <f t="shared" si="9"/>
        <v>#DIV/0!</v>
      </c>
      <c r="AA24" s="4"/>
      <c r="AB24" s="4"/>
      <c r="AC24" s="4"/>
      <c r="AD24" s="4"/>
      <c r="AE24" s="4"/>
      <c r="AF24" s="4"/>
      <c r="AG24" s="4"/>
    </row>
    <row r="25">
      <c r="A25" s="46" t="s">
        <v>11</v>
      </c>
      <c r="B25" s="23"/>
      <c r="C25" s="48"/>
      <c r="D25" s="48">
        <f>Mai!C4</f>
        <v>0</v>
      </c>
      <c r="E25" s="52"/>
      <c r="F25" s="50" t="str">
        <f t="shared" si="4"/>
        <v>#DIV/0!</v>
      </c>
      <c r="G25" s="48"/>
      <c r="H25" s="48">
        <f>Mai!D4</f>
        <v>0</v>
      </c>
      <c r="I25" s="51">
        <v>48000.0</v>
      </c>
      <c r="J25" s="50">
        <f t="shared" si="5"/>
        <v>0</v>
      </c>
      <c r="K25" s="48"/>
      <c r="L25" s="48">
        <f>Mai!E4</f>
        <v>0</v>
      </c>
      <c r="M25" s="52"/>
      <c r="N25" s="50" t="str">
        <f t="shared" si="6"/>
        <v>#DIV/0!</v>
      </c>
      <c r="O25" s="48"/>
      <c r="P25" s="48">
        <f>Mai!F4</f>
        <v>0</v>
      </c>
      <c r="Q25" s="52"/>
      <c r="R25" s="50" t="str">
        <f t="shared" si="7"/>
        <v>#DIV/0!</v>
      </c>
      <c r="S25" s="48"/>
      <c r="T25" s="48">
        <f>Mai!G4</f>
        <v>0</v>
      </c>
      <c r="U25" s="48"/>
      <c r="V25" s="50" t="str">
        <f t="shared" si="8"/>
        <v>#DIV/0!</v>
      </c>
      <c r="W25" s="48"/>
      <c r="X25" s="48" t="str">
        <f>Mai!K4</f>
        <v/>
      </c>
      <c r="Y25" s="48"/>
      <c r="Z25" s="50" t="str">
        <f t="shared" si="9"/>
        <v>#DIV/0!</v>
      </c>
      <c r="AA25" s="4"/>
      <c r="AB25" s="4"/>
      <c r="AC25" s="4"/>
      <c r="AD25" s="4"/>
      <c r="AE25" s="4"/>
      <c r="AF25" s="4"/>
      <c r="AG25" s="4"/>
    </row>
    <row r="26">
      <c r="A26" s="46" t="s">
        <v>12</v>
      </c>
      <c r="B26" s="23"/>
      <c r="C26" s="48"/>
      <c r="D26" s="48">
        <f>Juin!C4</f>
        <v>0</v>
      </c>
      <c r="E26" s="52"/>
      <c r="F26" s="50" t="str">
        <f t="shared" si="4"/>
        <v>#DIV/0!</v>
      </c>
      <c r="G26" s="48"/>
      <c r="H26" s="48">
        <f>Juin!D4</f>
        <v>0</v>
      </c>
      <c r="I26" s="51">
        <v>28000.0</v>
      </c>
      <c r="J26" s="50">
        <f t="shared" si="5"/>
        <v>0</v>
      </c>
      <c r="K26" s="48"/>
      <c r="L26" s="48">
        <f>Juin!E4</f>
        <v>0</v>
      </c>
      <c r="M26" s="52"/>
      <c r="N26" s="50" t="str">
        <f t="shared" si="6"/>
        <v>#DIV/0!</v>
      </c>
      <c r="O26" s="48"/>
      <c r="P26" s="48">
        <f>Juin!F4</f>
        <v>0</v>
      </c>
      <c r="Q26" s="52"/>
      <c r="R26" s="50" t="str">
        <f t="shared" si="7"/>
        <v>#DIV/0!</v>
      </c>
      <c r="S26" s="48"/>
      <c r="T26" s="48">
        <f>Juin!G4</f>
        <v>0</v>
      </c>
      <c r="U26" s="48"/>
      <c r="V26" s="50" t="str">
        <f t="shared" si="8"/>
        <v>#DIV/0!</v>
      </c>
      <c r="W26" s="48"/>
      <c r="X26" s="48" t="str">
        <f>Juin!K4</f>
        <v/>
      </c>
      <c r="Y26" s="48"/>
      <c r="Z26" s="50" t="str">
        <f t="shared" si="9"/>
        <v>#DIV/0!</v>
      </c>
      <c r="AA26" s="4"/>
      <c r="AB26" s="4"/>
      <c r="AC26" s="4"/>
      <c r="AD26" s="4"/>
      <c r="AE26" s="4"/>
      <c r="AF26" s="4"/>
      <c r="AG26" s="4"/>
    </row>
    <row r="27">
      <c r="A27" s="46" t="s">
        <v>13</v>
      </c>
      <c r="B27" s="23"/>
      <c r="C27" s="48"/>
      <c r="D27" s="48">
        <f>Juillet!C4</f>
        <v>0</v>
      </c>
      <c r="E27" s="52"/>
      <c r="F27" s="50" t="str">
        <f t="shared" si="4"/>
        <v>#DIV/0!</v>
      </c>
      <c r="G27" s="48"/>
      <c r="H27" s="48">
        <f>Juillet!D4</f>
        <v>0</v>
      </c>
      <c r="I27" s="51">
        <v>29000.0</v>
      </c>
      <c r="J27" s="50">
        <f t="shared" si="5"/>
        <v>0</v>
      </c>
      <c r="K27" s="48"/>
      <c r="L27" s="48">
        <f>Juillet!E4</f>
        <v>0</v>
      </c>
      <c r="M27" s="52"/>
      <c r="N27" s="50" t="str">
        <f t="shared" si="6"/>
        <v>#DIV/0!</v>
      </c>
      <c r="O27" s="48"/>
      <c r="P27" s="48">
        <f>Juillet!F4</f>
        <v>0</v>
      </c>
      <c r="Q27" s="52"/>
      <c r="R27" s="50" t="str">
        <f t="shared" si="7"/>
        <v>#DIV/0!</v>
      </c>
      <c r="S27" s="48"/>
      <c r="T27" s="48">
        <f>Juillet!G4</f>
        <v>0</v>
      </c>
      <c r="U27" s="48"/>
      <c r="V27" s="50" t="str">
        <f t="shared" si="8"/>
        <v>#DIV/0!</v>
      </c>
      <c r="W27" s="48"/>
      <c r="X27" s="48" t="str">
        <f>Juillet!K4</f>
        <v/>
      </c>
      <c r="Y27" s="48"/>
      <c r="Z27" s="50" t="str">
        <f t="shared" si="9"/>
        <v>#DIV/0!</v>
      </c>
      <c r="AA27" s="4"/>
      <c r="AB27" s="4"/>
      <c r="AC27" s="4"/>
      <c r="AD27" s="4"/>
      <c r="AE27" s="4"/>
      <c r="AF27" s="4"/>
      <c r="AG27" s="4"/>
    </row>
    <row r="28">
      <c r="A28" s="46" t="s">
        <v>14</v>
      </c>
      <c r="B28" s="23"/>
      <c r="C28" s="48"/>
      <c r="D28" s="48">
        <f>'Août'!C4</f>
        <v>0</v>
      </c>
      <c r="E28" s="52"/>
      <c r="F28" s="50" t="str">
        <f t="shared" si="4"/>
        <v>#DIV/0!</v>
      </c>
      <c r="G28" s="48"/>
      <c r="H28" s="48">
        <f>'Août'!D4</f>
        <v>0</v>
      </c>
      <c r="I28" s="51">
        <v>32000.0</v>
      </c>
      <c r="J28" s="50">
        <f t="shared" si="5"/>
        <v>0</v>
      </c>
      <c r="K28" s="48"/>
      <c r="L28" s="48">
        <f>'Août'!E4</f>
        <v>0</v>
      </c>
      <c r="M28" s="52"/>
      <c r="N28" s="50" t="str">
        <f t="shared" si="6"/>
        <v>#DIV/0!</v>
      </c>
      <c r="O28" s="48"/>
      <c r="P28" s="48">
        <f>'Août'!F4</f>
        <v>0</v>
      </c>
      <c r="Q28" s="52"/>
      <c r="R28" s="50" t="str">
        <f t="shared" si="7"/>
        <v>#DIV/0!</v>
      </c>
      <c r="S28" s="48"/>
      <c r="T28" s="48">
        <f>'Août'!G4</f>
        <v>0</v>
      </c>
      <c r="U28" s="48"/>
      <c r="V28" s="50" t="str">
        <f t="shared" si="8"/>
        <v>#DIV/0!</v>
      </c>
      <c r="W28" s="48"/>
      <c r="X28" s="48" t="str">
        <f>'Août'!K4</f>
        <v/>
      </c>
      <c r="Y28" s="48"/>
      <c r="Z28" s="50" t="str">
        <f t="shared" si="9"/>
        <v>#DIV/0!</v>
      </c>
      <c r="AA28" s="4"/>
      <c r="AB28" s="4"/>
      <c r="AC28" s="4"/>
      <c r="AD28" s="4"/>
      <c r="AE28" s="4"/>
      <c r="AF28" s="4"/>
      <c r="AG28" s="4"/>
    </row>
    <row r="29">
      <c r="A29" s="46" t="s">
        <v>15</v>
      </c>
      <c r="B29" s="23"/>
      <c r="C29" s="48"/>
      <c r="D29" s="48">
        <f>Septembre!C4</f>
        <v>0</v>
      </c>
      <c r="E29" s="52"/>
      <c r="F29" s="50" t="str">
        <f t="shared" si="4"/>
        <v>#DIV/0!</v>
      </c>
      <c r="G29" s="48"/>
      <c r="H29" s="48">
        <f>Septembre!D4</f>
        <v>0</v>
      </c>
      <c r="I29" s="51">
        <v>44000.0</v>
      </c>
      <c r="J29" s="50">
        <f t="shared" si="5"/>
        <v>0</v>
      </c>
      <c r="K29" s="48"/>
      <c r="L29" s="48">
        <f>Septembre!E4</f>
        <v>0</v>
      </c>
      <c r="M29" s="52"/>
      <c r="N29" s="50" t="str">
        <f t="shared" si="6"/>
        <v>#DIV/0!</v>
      </c>
      <c r="O29" s="48"/>
      <c r="P29" s="48">
        <f>Septembre!F4</f>
        <v>0</v>
      </c>
      <c r="Q29" s="52"/>
      <c r="R29" s="50" t="str">
        <f t="shared" si="7"/>
        <v>#DIV/0!</v>
      </c>
      <c r="S29" s="48"/>
      <c r="T29" s="48">
        <f>Septembre!G4</f>
        <v>0</v>
      </c>
      <c r="U29" s="48"/>
      <c r="V29" s="50" t="str">
        <f t="shared" si="8"/>
        <v>#DIV/0!</v>
      </c>
      <c r="W29" s="48"/>
      <c r="X29" s="48" t="str">
        <f>Septembre!K4</f>
        <v/>
      </c>
      <c r="Y29" s="48"/>
      <c r="Z29" s="50" t="str">
        <f t="shared" si="9"/>
        <v>#DIV/0!</v>
      </c>
      <c r="AA29" s="4"/>
      <c r="AB29" s="4"/>
      <c r="AC29" s="4"/>
      <c r="AD29" s="4"/>
      <c r="AE29" s="4"/>
      <c r="AF29" s="4"/>
      <c r="AG29" s="4"/>
    </row>
    <row r="30">
      <c r="A30" s="46" t="s">
        <v>16</v>
      </c>
      <c r="B30" s="23"/>
      <c r="C30" s="48"/>
      <c r="D30" s="48">
        <f>Octobre!C4</f>
        <v>0</v>
      </c>
      <c r="E30" s="49"/>
      <c r="F30" s="50" t="str">
        <f t="shared" si="4"/>
        <v>#DIV/0!</v>
      </c>
      <c r="G30" s="48"/>
      <c r="H30" s="48">
        <f>Octobre!D4</f>
        <v>0</v>
      </c>
      <c r="I30" s="51">
        <v>46000.0</v>
      </c>
      <c r="J30" s="50">
        <f t="shared" si="5"/>
        <v>0</v>
      </c>
      <c r="K30" s="48"/>
      <c r="L30" s="48">
        <f>Octobre!E4</f>
        <v>0</v>
      </c>
      <c r="M30" s="49"/>
      <c r="N30" s="50" t="str">
        <f t="shared" si="6"/>
        <v>#DIV/0!</v>
      </c>
      <c r="O30" s="48"/>
      <c r="P30" s="48">
        <f>Octobre!F4</f>
        <v>0</v>
      </c>
      <c r="Q30" s="49"/>
      <c r="R30" s="50" t="str">
        <f t="shared" si="7"/>
        <v>#DIV/0!</v>
      </c>
      <c r="S30" s="48"/>
      <c r="T30" s="48">
        <f>Octobre!G4</f>
        <v>0</v>
      </c>
      <c r="U30" s="48"/>
      <c r="V30" s="50" t="str">
        <f t="shared" si="8"/>
        <v>#DIV/0!</v>
      </c>
      <c r="W30" s="48"/>
      <c r="X30" s="48" t="str">
        <f>Octobre!K4</f>
        <v/>
      </c>
      <c r="Y30" s="48"/>
      <c r="Z30" s="50" t="str">
        <f t="shared" si="9"/>
        <v>#DIV/0!</v>
      </c>
      <c r="AA30" s="4"/>
      <c r="AB30" s="4"/>
      <c r="AC30" s="4"/>
      <c r="AD30" s="4"/>
      <c r="AE30" s="4"/>
      <c r="AF30" s="4"/>
      <c r="AG30" s="4"/>
    </row>
    <row r="31">
      <c r="A31" s="46" t="s">
        <v>17</v>
      </c>
      <c r="B31" s="23"/>
      <c r="C31" s="48"/>
      <c r="D31" s="48">
        <f>Novembre!C4</f>
        <v>0</v>
      </c>
      <c r="E31" s="49"/>
      <c r="F31" s="50" t="str">
        <f t="shared" si="4"/>
        <v>#DIV/0!</v>
      </c>
      <c r="G31" s="48"/>
      <c r="H31" s="48">
        <f>Novembre!D4</f>
        <v>0</v>
      </c>
      <c r="I31" s="51">
        <v>40000.0</v>
      </c>
      <c r="J31" s="50">
        <f t="shared" si="5"/>
        <v>0</v>
      </c>
      <c r="K31" s="48"/>
      <c r="L31" s="48">
        <f>Novembre!E4</f>
        <v>0</v>
      </c>
      <c r="M31" s="49"/>
      <c r="N31" s="50" t="str">
        <f t="shared" si="6"/>
        <v>#DIV/0!</v>
      </c>
      <c r="O31" s="48"/>
      <c r="P31" s="48">
        <f>Novembre!F4</f>
        <v>0</v>
      </c>
      <c r="Q31" s="49"/>
      <c r="R31" s="50" t="str">
        <f t="shared" si="7"/>
        <v>#DIV/0!</v>
      </c>
      <c r="S31" s="48"/>
      <c r="T31" s="48">
        <f>Novembre!G4</f>
        <v>0</v>
      </c>
      <c r="U31" s="48"/>
      <c r="V31" s="50" t="str">
        <f t="shared" si="8"/>
        <v>#DIV/0!</v>
      </c>
      <c r="W31" s="48"/>
      <c r="X31" s="48" t="str">
        <f>Novembre!K4</f>
        <v/>
      </c>
      <c r="Y31" s="48"/>
      <c r="Z31" s="50" t="str">
        <f t="shared" si="9"/>
        <v>#DIV/0!</v>
      </c>
      <c r="AA31" s="4"/>
      <c r="AB31" s="4"/>
      <c r="AC31" s="4"/>
      <c r="AD31" s="4"/>
      <c r="AE31" s="4"/>
      <c r="AF31" s="4"/>
      <c r="AG31" s="4"/>
    </row>
    <row r="32">
      <c r="A32" s="46" t="s">
        <v>18</v>
      </c>
      <c r="B32" s="23"/>
      <c r="C32" s="48"/>
      <c r="D32" s="48">
        <f>'Décembre'!C4</f>
        <v>0</v>
      </c>
      <c r="E32" s="49"/>
      <c r="F32" s="50" t="str">
        <f t="shared" si="4"/>
        <v>#DIV/0!</v>
      </c>
      <c r="G32" s="48"/>
      <c r="H32" s="48">
        <f>'Décembre'!D4</f>
        <v>0</v>
      </c>
      <c r="I32" s="51">
        <v>15000.0</v>
      </c>
      <c r="J32" s="50">
        <f t="shared" si="5"/>
        <v>0</v>
      </c>
      <c r="K32" s="48"/>
      <c r="L32" s="48">
        <f>'Décembre'!E4</f>
        <v>0</v>
      </c>
      <c r="M32" s="49"/>
      <c r="N32" s="50" t="str">
        <f t="shared" si="6"/>
        <v>#DIV/0!</v>
      </c>
      <c r="O32" s="48"/>
      <c r="P32" s="48">
        <f>'Décembre'!F4</f>
        <v>0</v>
      </c>
      <c r="Q32" s="49"/>
      <c r="R32" s="50" t="str">
        <f t="shared" si="7"/>
        <v>#DIV/0!</v>
      </c>
      <c r="S32" s="48"/>
      <c r="T32" s="48">
        <f>'Décembre'!G4</f>
        <v>0</v>
      </c>
      <c r="U32" s="48"/>
      <c r="V32" s="50" t="str">
        <f t="shared" si="8"/>
        <v>#DIV/0!</v>
      </c>
      <c r="W32" s="48"/>
      <c r="X32" s="48" t="str">
        <f>'Décembre'!K4</f>
        <v/>
      </c>
      <c r="Y32" s="48"/>
      <c r="Z32" s="50" t="str">
        <f t="shared" si="9"/>
        <v>#DIV/0!</v>
      </c>
      <c r="AA32" s="4"/>
      <c r="AB32" s="4"/>
      <c r="AC32" s="4"/>
      <c r="AD32" s="4"/>
      <c r="AE32" s="4"/>
      <c r="AF32" s="4"/>
      <c r="AG32" s="4"/>
    </row>
    <row r="33">
      <c r="A33" s="53" t="s">
        <v>1</v>
      </c>
      <c r="B33" s="23"/>
      <c r="C33" s="54">
        <f t="shared" ref="C33:E33" si="10">SUM(C21:C32)</f>
        <v>0</v>
      </c>
      <c r="D33" s="54">
        <f t="shared" si="10"/>
        <v>0</v>
      </c>
      <c r="E33" s="54">
        <f t="shared" si="10"/>
        <v>0</v>
      </c>
      <c r="F33" s="55" t="str">
        <f t="shared" si="4"/>
        <v>#DIV/0!</v>
      </c>
      <c r="G33" s="54">
        <f t="shared" ref="G33:I33" si="11">SUM(G21:G32)</f>
        <v>0</v>
      </c>
      <c r="H33" s="54">
        <f t="shared" si="11"/>
        <v>153807.52</v>
      </c>
      <c r="I33" s="54">
        <f t="shared" si="11"/>
        <v>400000</v>
      </c>
      <c r="J33" s="55">
        <f t="shared" si="5"/>
        <v>0.3845188</v>
      </c>
      <c r="K33" s="54">
        <f t="shared" ref="K33:M33" si="12">SUM(K21:K32)</f>
        <v>0</v>
      </c>
      <c r="L33" s="54">
        <f t="shared" si="12"/>
        <v>0</v>
      </c>
      <c r="M33" s="54">
        <f t="shared" si="12"/>
        <v>0</v>
      </c>
      <c r="N33" s="55" t="str">
        <f t="shared" si="6"/>
        <v>#DIV/0!</v>
      </c>
      <c r="O33" s="54">
        <f t="shared" ref="O33:Q33" si="13">SUM(O21:O32)</f>
        <v>0</v>
      </c>
      <c r="P33" s="54">
        <f t="shared" si="13"/>
        <v>250</v>
      </c>
      <c r="Q33" s="54">
        <f t="shared" si="13"/>
        <v>0</v>
      </c>
      <c r="R33" s="55" t="str">
        <f t="shared" si="7"/>
        <v>#DIV/0!</v>
      </c>
      <c r="S33" s="54">
        <f t="shared" ref="S33:U33" si="14">SUM(S21:S32)</f>
        <v>0</v>
      </c>
      <c r="T33" s="54">
        <f t="shared" si="14"/>
        <v>0</v>
      </c>
      <c r="U33" s="54">
        <f t="shared" si="14"/>
        <v>0</v>
      </c>
      <c r="V33" s="55" t="str">
        <f t="shared" si="8"/>
        <v>#DIV/0!</v>
      </c>
      <c r="W33" s="54">
        <f t="shared" ref="W33:Y33" si="15">SUM(W21:W32)</f>
        <v>0</v>
      </c>
      <c r="X33" s="54">
        <f t="shared" si="15"/>
        <v>0</v>
      </c>
      <c r="Y33" s="54">
        <f t="shared" si="15"/>
        <v>0</v>
      </c>
      <c r="Z33" s="55" t="str">
        <f t="shared" si="9"/>
        <v>#DIV/0!</v>
      </c>
      <c r="AA33" s="56"/>
      <c r="AB33" s="56"/>
      <c r="AC33" s="56"/>
      <c r="AD33" s="56"/>
      <c r="AE33" s="56"/>
      <c r="AF33" s="56"/>
      <c r="AG33" s="56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>
      <c r="A36" s="4"/>
      <c r="B36" s="4"/>
      <c r="C36" s="4"/>
      <c r="D36" s="4"/>
      <c r="E36" s="11"/>
      <c r="F36" s="57"/>
      <c r="G36" s="58"/>
      <c r="H36" s="57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>
      <c r="A37" s="4"/>
      <c r="B37" s="4"/>
      <c r="C37" s="4"/>
      <c r="D37" s="4"/>
      <c r="E37" s="59"/>
      <c r="F37" s="57"/>
      <c r="G37" s="60"/>
      <c r="H37" s="57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>
      <c r="A38" s="4"/>
      <c r="B38" s="4"/>
      <c r="C38" s="4"/>
      <c r="D38" s="4"/>
      <c r="E38" s="59"/>
      <c r="F38" s="57"/>
      <c r="G38" s="60"/>
      <c r="H38" s="57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>
      <c r="A39" s="4"/>
      <c r="B39" s="4"/>
      <c r="C39" s="4"/>
      <c r="D39" s="4"/>
      <c r="E39" s="59"/>
      <c r="F39" s="57"/>
      <c r="G39" s="60"/>
      <c r="H39" s="57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>
      <c r="A40" s="4"/>
      <c r="B40" s="4"/>
      <c r="C40" s="4"/>
      <c r="D40" s="4"/>
      <c r="E40" s="59"/>
      <c r="F40" s="57"/>
      <c r="G40" s="60"/>
      <c r="H40" s="57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>
      <c r="A41" s="4"/>
      <c r="B41" s="4"/>
      <c r="C41" s="4"/>
      <c r="D41" s="4"/>
      <c r="E41" s="59"/>
      <c r="F41" s="57"/>
      <c r="G41" s="60"/>
      <c r="H41" s="57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>
      <c r="A42" s="4"/>
      <c r="B42" s="4"/>
      <c r="C42" s="4"/>
      <c r="D42" s="4"/>
      <c r="E42" s="59"/>
      <c r="F42" s="57"/>
      <c r="G42" s="60"/>
      <c r="H42" s="57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>
      <c r="A43" s="4"/>
      <c r="B43" s="4"/>
      <c r="C43" s="4"/>
      <c r="D43" s="4"/>
      <c r="E43" s="59"/>
      <c r="F43" s="57"/>
      <c r="G43" s="60"/>
      <c r="H43" s="57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>
      <c r="A44" s="4"/>
      <c r="B44" s="4"/>
      <c r="C44" s="4"/>
      <c r="D44" s="4"/>
      <c r="E44" s="59"/>
      <c r="F44" s="57"/>
      <c r="G44" s="60"/>
      <c r="H44" s="57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>
      <c r="A45" s="4"/>
      <c r="B45" s="4"/>
      <c r="C45" s="4"/>
      <c r="D45" s="4"/>
      <c r="E45" s="59"/>
      <c r="F45" s="57"/>
      <c r="G45" s="60"/>
      <c r="H45" s="57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>
      <c r="A46" s="4"/>
      <c r="B46" s="4"/>
      <c r="C46" s="4"/>
      <c r="D46" s="4"/>
      <c r="E46" s="59"/>
      <c r="F46" s="57"/>
      <c r="G46" s="60"/>
      <c r="H46" s="57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>
      <c r="A47" s="4"/>
      <c r="B47" s="4"/>
      <c r="C47" s="4"/>
      <c r="D47" s="4"/>
      <c r="E47" s="59"/>
      <c r="F47" s="57"/>
      <c r="G47" s="60"/>
      <c r="H47" s="57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>
      <c r="A48" s="4"/>
      <c r="B48" s="4"/>
      <c r="C48" s="4"/>
      <c r="D48" s="4"/>
      <c r="E48" s="59"/>
      <c r="F48" s="57"/>
      <c r="G48" s="60"/>
      <c r="H48" s="59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</row>
  </sheetData>
  <mergeCells count="57">
    <mergeCell ref="A27:B27"/>
    <mergeCell ref="A28:B28"/>
    <mergeCell ref="A29:B29"/>
    <mergeCell ref="A30:B30"/>
    <mergeCell ref="A31:B31"/>
    <mergeCell ref="A32:B32"/>
    <mergeCell ref="A33:B33"/>
    <mergeCell ref="A20:B20"/>
    <mergeCell ref="A21:B21"/>
    <mergeCell ref="A22:B22"/>
    <mergeCell ref="A23:B23"/>
    <mergeCell ref="A24:B24"/>
    <mergeCell ref="A25:B25"/>
    <mergeCell ref="A26:B26"/>
    <mergeCell ref="A1:G1"/>
    <mergeCell ref="A2:B2"/>
    <mergeCell ref="C2:G2"/>
    <mergeCell ref="A3:B3"/>
    <mergeCell ref="K3:K4"/>
    <mergeCell ref="L3:N4"/>
    <mergeCell ref="AD4:AE4"/>
    <mergeCell ref="A4:B4"/>
    <mergeCell ref="A5:B5"/>
    <mergeCell ref="K5:K6"/>
    <mergeCell ref="L5:N6"/>
    <mergeCell ref="A6:B6"/>
    <mergeCell ref="K7:K8"/>
    <mergeCell ref="L7:N8"/>
    <mergeCell ref="AD12:AE12"/>
    <mergeCell ref="AD13:AE13"/>
    <mergeCell ref="AD14:AE14"/>
    <mergeCell ref="AD15:AE15"/>
    <mergeCell ref="AD16:AE16"/>
    <mergeCell ref="AD17:AE17"/>
    <mergeCell ref="AD5:AE5"/>
    <mergeCell ref="AD6:AE6"/>
    <mergeCell ref="AD7:AE7"/>
    <mergeCell ref="AD8:AE8"/>
    <mergeCell ref="AD9:AE9"/>
    <mergeCell ref="AD10:AE10"/>
    <mergeCell ref="AD11:AE11"/>
    <mergeCell ref="S19:V19"/>
    <mergeCell ref="W19:Z19"/>
    <mergeCell ref="A14:B14"/>
    <mergeCell ref="A15:B15"/>
    <mergeCell ref="A16:B16"/>
    <mergeCell ref="C19:F19"/>
    <mergeCell ref="G19:J19"/>
    <mergeCell ref="K19:N19"/>
    <mergeCell ref="O19:R19"/>
    <mergeCell ref="A7:B7"/>
    <mergeCell ref="A8:B8"/>
    <mergeCell ref="A9:B9"/>
    <mergeCell ref="A10:B10"/>
    <mergeCell ref="A11:B11"/>
    <mergeCell ref="A12:B12"/>
    <mergeCell ref="A13:B1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61" t="s">
        <v>25</v>
      </c>
      <c r="C1" s="62" t="s">
        <v>26</v>
      </c>
      <c r="D1" s="63" t="s">
        <v>20</v>
      </c>
      <c r="E1" s="64" t="s">
        <v>21</v>
      </c>
      <c r="F1" s="65" t="s">
        <v>22</v>
      </c>
      <c r="G1" s="66" t="s">
        <v>23</v>
      </c>
      <c r="H1" s="67" t="s">
        <v>24</v>
      </c>
      <c r="I1" s="6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1" t="s">
        <v>27</v>
      </c>
      <c r="B2" s="69">
        <f>SUM(G7:G962)</f>
        <v>2600.502</v>
      </c>
      <c r="C2" s="70">
        <f>SUMIF(F8:F960,"MÉDIA MULTI-ANNONCEURS",G8:G960)</f>
        <v>0</v>
      </c>
      <c r="D2" s="71">
        <f>SUMIF(F8:F960,"PROMOTIONNEL",G8:G960)</f>
        <v>2600.502</v>
      </c>
      <c r="E2" s="72">
        <f>SUMIF(F8:F960,"DIST. PUBLICITAIRE SOLO",G8:G960)</f>
        <v>0</v>
      </c>
      <c r="F2" s="73">
        <f>SUMIF(F8:F960,"AGENCE PUB",G8:G960)</f>
        <v>0</v>
      </c>
      <c r="G2" s="74">
        <f>SUMIF(F8:F960,"AGENCE WEB",G8:G960)</f>
        <v>0</v>
      </c>
      <c r="H2" s="75">
        <f>SUMIF(F8:F960,"SERVICES IA",G8:G960)</f>
        <v>0</v>
      </c>
      <c r="I2" s="6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6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1" t="s">
        <v>28</v>
      </c>
      <c r="B4" s="69">
        <f>SUM(B8:B962)</f>
        <v>26005.02</v>
      </c>
      <c r="C4" s="70">
        <f>SUMIF(F8:F960,"MÉDIA MULTI-ANNONCEURS",B8:B960)</f>
        <v>0</v>
      </c>
      <c r="D4" s="71">
        <f>SUMIF(F8:F960,"PROMOTIONNEL",B8:B960)</f>
        <v>26005.02</v>
      </c>
      <c r="E4" s="72">
        <f>SUMIF(F8:F960,"DIST. PUBLICITAIRE SOLO",B8:B960)</f>
        <v>0</v>
      </c>
      <c r="F4" s="73">
        <f>SUMIF(F8:F960,"AGENCE PUB",B8:B960)</f>
        <v>0</v>
      </c>
      <c r="G4" s="74">
        <f>SUMIF(F8:F960,"AGENCE WEB",B8:B960)</f>
        <v>0</v>
      </c>
      <c r="H4" s="75">
        <f>SUMIF(F8:F960,"SERVICES IA",B8:B960)</f>
        <v>0</v>
      </c>
      <c r="I4" s="6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6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68"/>
      <c r="C6" s="68"/>
      <c r="D6" s="68"/>
      <c r="E6" s="68"/>
      <c r="F6" s="68"/>
      <c r="G6" s="68"/>
      <c r="H6" s="4"/>
      <c r="I6" s="6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1" t="s">
        <v>29</v>
      </c>
      <c r="B7" s="76" t="s">
        <v>30</v>
      </c>
      <c r="C7" s="77" t="s">
        <v>31</v>
      </c>
      <c r="D7" s="77" t="s">
        <v>32</v>
      </c>
      <c r="E7" s="76" t="s">
        <v>33</v>
      </c>
      <c r="F7" s="78" t="s">
        <v>34</v>
      </c>
      <c r="G7" s="78" t="s">
        <v>35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9" t="s">
        <v>36</v>
      </c>
      <c r="B8" s="80">
        <v>3387.1</v>
      </c>
      <c r="C8" s="81" t="s">
        <v>37</v>
      </c>
      <c r="D8" s="82">
        <v>46027.0</v>
      </c>
      <c r="E8" s="83" t="s">
        <v>38</v>
      </c>
      <c r="F8" s="79" t="s">
        <v>20</v>
      </c>
      <c r="G8" s="68">
        <f t="shared" ref="G8:G166" si="1">B8*0.1</f>
        <v>338.71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79" t="s">
        <v>39</v>
      </c>
      <c r="B9" s="80">
        <v>130.39</v>
      </c>
      <c r="C9" s="81" t="s">
        <v>40</v>
      </c>
      <c r="D9" s="82">
        <v>46027.0</v>
      </c>
      <c r="E9" s="83" t="s">
        <v>38</v>
      </c>
      <c r="F9" s="79" t="s">
        <v>20</v>
      </c>
      <c r="G9" s="68">
        <f t="shared" si="1"/>
        <v>13.039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79" t="s">
        <v>41</v>
      </c>
      <c r="B10" s="80">
        <v>3800.0</v>
      </c>
      <c r="C10" s="81" t="s">
        <v>42</v>
      </c>
      <c r="D10" s="82">
        <v>46027.0</v>
      </c>
      <c r="E10" s="83" t="s">
        <v>38</v>
      </c>
      <c r="F10" s="79" t="s">
        <v>20</v>
      </c>
      <c r="G10" s="68">
        <f t="shared" si="1"/>
        <v>380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79" t="s">
        <v>43</v>
      </c>
      <c r="B11" s="80">
        <v>2174.29</v>
      </c>
      <c r="C11" s="81" t="s">
        <v>44</v>
      </c>
      <c r="D11" s="82">
        <v>46029.0</v>
      </c>
      <c r="E11" s="83" t="s">
        <v>38</v>
      </c>
      <c r="F11" s="79" t="s">
        <v>20</v>
      </c>
      <c r="G11" s="68">
        <f t="shared" si="1"/>
        <v>217.429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79" t="s">
        <v>45</v>
      </c>
      <c r="B12" s="80">
        <v>409.84</v>
      </c>
      <c r="C12" s="81" t="s">
        <v>46</v>
      </c>
      <c r="D12" s="82">
        <v>46034.0</v>
      </c>
      <c r="E12" s="83" t="s">
        <v>38</v>
      </c>
      <c r="F12" s="79" t="s">
        <v>20</v>
      </c>
      <c r="G12" s="68">
        <f t="shared" si="1"/>
        <v>40.984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79" t="s">
        <v>47</v>
      </c>
      <c r="B13" s="80">
        <v>3370.54</v>
      </c>
      <c r="C13" s="81" t="s">
        <v>48</v>
      </c>
      <c r="D13" s="82">
        <v>46035.0</v>
      </c>
      <c r="E13" s="83" t="s">
        <v>38</v>
      </c>
      <c r="F13" s="79" t="s">
        <v>20</v>
      </c>
      <c r="G13" s="68">
        <f t="shared" si="1"/>
        <v>337.054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79" t="s">
        <v>49</v>
      </c>
      <c r="B14" s="80">
        <v>811.35</v>
      </c>
      <c r="C14" s="81" t="s">
        <v>50</v>
      </c>
      <c r="D14" s="82">
        <v>46037.0</v>
      </c>
      <c r="E14" s="83" t="s">
        <v>38</v>
      </c>
      <c r="F14" s="79" t="s">
        <v>20</v>
      </c>
      <c r="G14" s="68">
        <f t="shared" si="1"/>
        <v>81.135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79" t="s">
        <v>51</v>
      </c>
      <c r="B15" s="80">
        <v>96.05</v>
      </c>
      <c r="C15" s="81" t="s">
        <v>52</v>
      </c>
      <c r="D15" s="82">
        <v>46037.0</v>
      </c>
      <c r="E15" s="83" t="s">
        <v>38</v>
      </c>
      <c r="F15" s="79" t="s">
        <v>20</v>
      </c>
      <c r="G15" s="68">
        <f t="shared" si="1"/>
        <v>9.605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79" t="s">
        <v>53</v>
      </c>
      <c r="B16" s="80">
        <v>330.0</v>
      </c>
      <c r="C16" s="81" t="s">
        <v>54</v>
      </c>
      <c r="D16" s="82">
        <v>46041.0</v>
      </c>
      <c r="E16" s="83" t="s">
        <v>38</v>
      </c>
      <c r="F16" s="79" t="s">
        <v>20</v>
      </c>
      <c r="G16" s="68">
        <f t="shared" si="1"/>
        <v>33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79" t="s">
        <v>39</v>
      </c>
      <c r="B17" s="80">
        <v>15.0</v>
      </c>
      <c r="C17" s="81" t="s">
        <v>55</v>
      </c>
      <c r="D17" s="82">
        <v>46042.0</v>
      </c>
      <c r="E17" s="83" t="s">
        <v>38</v>
      </c>
      <c r="F17" s="79" t="s">
        <v>20</v>
      </c>
      <c r="G17" s="68">
        <f t="shared" si="1"/>
        <v>1.5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79" t="s">
        <v>56</v>
      </c>
      <c r="B18" s="80">
        <v>-2971.25</v>
      </c>
      <c r="C18" s="81" t="s">
        <v>57</v>
      </c>
      <c r="D18" s="82">
        <v>46043.0</v>
      </c>
      <c r="E18" s="83" t="s">
        <v>38</v>
      </c>
      <c r="F18" s="79" t="s">
        <v>20</v>
      </c>
      <c r="G18" s="68">
        <f t="shared" si="1"/>
        <v>-297.125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79" t="s">
        <v>58</v>
      </c>
      <c r="B19" s="80">
        <v>345.0</v>
      </c>
      <c r="C19" s="81" t="s">
        <v>59</v>
      </c>
      <c r="D19" s="82">
        <v>46043.0</v>
      </c>
      <c r="E19" s="83" t="s">
        <v>38</v>
      </c>
      <c r="F19" s="79" t="s">
        <v>20</v>
      </c>
      <c r="G19" s="68">
        <f t="shared" si="1"/>
        <v>34.5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79" t="s">
        <v>60</v>
      </c>
      <c r="B20" s="80">
        <v>992.5</v>
      </c>
      <c r="C20" s="81" t="s">
        <v>61</v>
      </c>
      <c r="D20" s="82">
        <v>46043.0</v>
      </c>
      <c r="E20" s="83" t="s">
        <v>38</v>
      </c>
      <c r="F20" s="79" t="s">
        <v>20</v>
      </c>
      <c r="G20" s="68">
        <f t="shared" si="1"/>
        <v>99.25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79" t="s">
        <v>62</v>
      </c>
      <c r="B21" s="80">
        <v>5570.4</v>
      </c>
      <c r="C21" s="81" t="s">
        <v>63</v>
      </c>
      <c r="D21" s="82">
        <v>46043.0</v>
      </c>
      <c r="E21" s="83" t="s">
        <v>38</v>
      </c>
      <c r="F21" s="79" t="s">
        <v>20</v>
      </c>
      <c r="G21" s="68">
        <f t="shared" si="1"/>
        <v>557.04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79" t="s">
        <v>64</v>
      </c>
      <c r="B22" s="80">
        <v>73.98</v>
      </c>
      <c r="C22" s="81" t="s">
        <v>65</v>
      </c>
      <c r="D22" s="82">
        <v>46043.0</v>
      </c>
      <c r="E22" s="83" t="s">
        <v>38</v>
      </c>
      <c r="F22" s="79" t="s">
        <v>20</v>
      </c>
      <c r="G22" s="68">
        <f t="shared" si="1"/>
        <v>7.398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79" t="s">
        <v>64</v>
      </c>
      <c r="B23" s="80">
        <v>651.8</v>
      </c>
      <c r="C23" s="81" t="s">
        <v>66</v>
      </c>
      <c r="D23" s="82">
        <v>46049.0</v>
      </c>
      <c r="E23" s="83" t="s">
        <v>38</v>
      </c>
      <c r="F23" s="79" t="s">
        <v>20</v>
      </c>
      <c r="G23" s="68">
        <f t="shared" si="1"/>
        <v>65.18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79" t="s">
        <v>67</v>
      </c>
      <c r="B24" s="80">
        <v>204.9</v>
      </c>
      <c r="C24" s="81" t="s">
        <v>68</v>
      </c>
      <c r="D24" s="82">
        <v>46050.0</v>
      </c>
      <c r="E24" s="83" t="s">
        <v>38</v>
      </c>
      <c r="F24" s="79" t="s">
        <v>20</v>
      </c>
      <c r="G24" s="68">
        <f t="shared" si="1"/>
        <v>20.49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79" t="s">
        <v>69</v>
      </c>
      <c r="B25" s="80">
        <v>-5570.4</v>
      </c>
      <c r="C25" s="81" t="s">
        <v>70</v>
      </c>
      <c r="D25" s="82">
        <v>46051.0</v>
      </c>
      <c r="E25" s="83" t="s">
        <v>38</v>
      </c>
      <c r="F25" s="79" t="s">
        <v>20</v>
      </c>
      <c r="G25" s="68">
        <f t="shared" si="1"/>
        <v>-557.04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79" t="s">
        <v>62</v>
      </c>
      <c r="B26" s="80">
        <v>5570.4</v>
      </c>
      <c r="C26" s="81" t="s">
        <v>71</v>
      </c>
      <c r="D26" s="82">
        <v>46051.0</v>
      </c>
      <c r="E26" s="83" t="s">
        <v>38</v>
      </c>
      <c r="F26" s="79" t="s">
        <v>20</v>
      </c>
      <c r="G26" s="68">
        <f t="shared" si="1"/>
        <v>557.04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79" t="s">
        <v>72</v>
      </c>
      <c r="B27" s="80">
        <v>215.0</v>
      </c>
      <c r="C27" s="81" t="s">
        <v>73</v>
      </c>
      <c r="D27" s="82">
        <v>46052.0</v>
      </c>
      <c r="E27" s="83" t="s">
        <v>38</v>
      </c>
      <c r="F27" s="79" t="s">
        <v>20</v>
      </c>
      <c r="G27" s="68">
        <f t="shared" si="1"/>
        <v>21.5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79" t="s">
        <v>74</v>
      </c>
      <c r="B28" s="80">
        <v>2470.09</v>
      </c>
      <c r="C28" s="81" t="s">
        <v>75</v>
      </c>
      <c r="D28" s="82">
        <v>46052.0</v>
      </c>
      <c r="E28" s="83" t="s">
        <v>38</v>
      </c>
      <c r="F28" s="79" t="s">
        <v>20</v>
      </c>
      <c r="G28" s="68">
        <f t="shared" si="1"/>
        <v>247.009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79" t="s">
        <v>76</v>
      </c>
      <c r="B29" s="80">
        <v>3743.04</v>
      </c>
      <c r="C29" s="81" t="s">
        <v>77</v>
      </c>
      <c r="D29" s="82">
        <v>46052.0</v>
      </c>
      <c r="E29" s="83" t="s">
        <v>38</v>
      </c>
      <c r="F29" s="79" t="s">
        <v>20</v>
      </c>
      <c r="G29" s="68">
        <f t="shared" si="1"/>
        <v>374.304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79" t="s">
        <v>78</v>
      </c>
      <c r="B30" s="80">
        <v>185.0</v>
      </c>
      <c r="C30" s="81" t="s">
        <v>79</v>
      </c>
      <c r="D30" s="82">
        <v>46052.0</v>
      </c>
      <c r="E30" s="83" t="s">
        <v>38</v>
      </c>
      <c r="F30" s="79" t="s">
        <v>20</v>
      </c>
      <c r="G30" s="68">
        <f t="shared" si="1"/>
        <v>18.5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84"/>
      <c r="B31" s="25"/>
      <c r="C31" s="25"/>
      <c r="D31" s="25"/>
      <c r="E31" s="85"/>
      <c r="F31" s="4"/>
      <c r="G31" s="68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84"/>
      <c r="B32" s="25"/>
      <c r="C32" s="25"/>
      <c r="D32" s="25"/>
      <c r="E32" s="85"/>
      <c r="F32" s="4"/>
      <c r="G32" s="68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84"/>
      <c r="B33" s="25"/>
      <c r="C33" s="25"/>
      <c r="D33" s="25"/>
      <c r="E33" s="85"/>
      <c r="F33" s="4"/>
      <c r="G33" s="68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84"/>
      <c r="B34" s="25"/>
      <c r="C34" s="25"/>
      <c r="D34" s="25"/>
      <c r="E34" s="85"/>
      <c r="F34" s="4"/>
      <c r="G34" s="68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84"/>
      <c r="B35" s="25"/>
      <c r="C35" s="25"/>
      <c r="D35" s="25"/>
      <c r="E35" s="85"/>
      <c r="F35" s="4"/>
      <c r="G35" s="68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84"/>
      <c r="B36" s="25"/>
      <c r="C36" s="25"/>
      <c r="D36" s="25"/>
      <c r="E36" s="85"/>
      <c r="F36" s="4"/>
      <c r="G36" s="68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84"/>
      <c r="B37" s="25"/>
      <c r="C37" s="25"/>
      <c r="D37" s="25"/>
      <c r="E37" s="85"/>
      <c r="F37" s="4"/>
      <c r="G37" s="68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85"/>
      <c r="F38" s="4"/>
      <c r="G38" s="68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85"/>
      <c r="F39" s="4"/>
      <c r="G39" s="68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85"/>
      <c r="F40" s="4"/>
      <c r="G40" s="68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85"/>
      <c r="F41" s="4"/>
      <c r="G41" s="68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85"/>
      <c r="F42" s="4"/>
      <c r="G42" s="68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85"/>
      <c r="F43" s="4"/>
      <c r="G43" s="68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85"/>
      <c r="F44" s="4"/>
      <c r="G44" s="68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85"/>
      <c r="F45" s="4"/>
      <c r="G45" s="68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85"/>
      <c r="F46" s="4"/>
      <c r="G46" s="68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85"/>
      <c r="F47" s="4"/>
      <c r="G47" s="68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85"/>
      <c r="F48" s="4"/>
      <c r="G48" s="68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85"/>
      <c r="F49" s="4"/>
      <c r="G49" s="68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85"/>
      <c r="F50" s="4"/>
      <c r="G50" s="68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85"/>
      <c r="F51" s="4"/>
      <c r="G51" s="68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85"/>
      <c r="F52" s="4"/>
      <c r="G52" s="68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85"/>
      <c r="F53" s="4"/>
      <c r="G53" s="68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85"/>
      <c r="F54" s="4"/>
      <c r="G54" s="68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85"/>
      <c r="F55" s="4"/>
      <c r="G55" s="68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85"/>
      <c r="F56" s="4"/>
      <c r="G56" s="68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85"/>
      <c r="F57" s="4"/>
      <c r="G57" s="68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85"/>
      <c r="F58" s="4"/>
      <c r="G58" s="68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85"/>
      <c r="F59" s="4"/>
      <c r="G59" s="68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85"/>
      <c r="F60" s="4"/>
      <c r="G60" s="68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85"/>
      <c r="F61" s="4"/>
      <c r="G61" s="68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85"/>
      <c r="F62" s="4"/>
      <c r="G62" s="68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85"/>
      <c r="F63" s="4"/>
      <c r="G63" s="68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85"/>
      <c r="F64" s="4"/>
      <c r="G64" s="68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85"/>
      <c r="F65" s="4"/>
      <c r="G65" s="68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85"/>
      <c r="F66" s="4"/>
      <c r="G66" s="68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85"/>
      <c r="F67" s="4"/>
      <c r="G67" s="68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85"/>
      <c r="F68" s="4"/>
      <c r="G68" s="68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85"/>
      <c r="F69" s="4"/>
      <c r="G69" s="68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85"/>
      <c r="F70" s="4"/>
      <c r="G70" s="68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85"/>
      <c r="F71" s="4"/>
      <c r="G71" s="68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85"/>
      <c r="F72" s="4"/>
      <c r="G72" s="68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85"/>
      <c r="F73" s="4"/>
      <c r="G73" s="68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85"/>
      <c r="F74" s="4"/>
      <c r="G74" s="68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85"/>
      <c r="F75" s="4"/>
      <c r="G75" s="68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85"/>
      <c r="F76" s="4"/>
      <c r="G76" s="68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85"/>
      <c r="F77" s="4"/>
      <c r="G77" s="68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85"/>
      <c r="F78" s="4"/>
      <c r="G78" s="68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85"/>
      <c r="F79" s="4"/>
      <c r="G79" s="68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85"/>
      <c r="F80" s="4"/>
      <c r="G80" s="68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85"/>
      <c r="F81" s="4"/>
      <c r="G81" s="68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85"/>
      <c r="F82" s="4"/>
      <c r="G82" s="68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85"/>
      <c r="F83" s="4"/>
      <c r="G83" s="68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85"/>
      <c r="F84" s="4"/>
      <c r="G84" s="68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85"/>
      <c r="F85" s="4"/>
      <c r="G85" s="68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85"/>
      <c r="F86" s="4"/>
      <c r="G86" s="68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85"/>
      <c r="F87" s="4"/>
      <c r="G87" s="68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85"/>
      <c r="F88" s="4"/>
      <c r="G88" s="68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85"/>
      <c r="F89" s="4"/>
      <c r="G89" s="68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85"/>
      <c r="F90" s="4"/>
      <c r="G90" s="68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85"/>
      <c r="F91" s="4"/>
      <c r="G91" s="68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85"/>
      <c r="F92" s="4"/>
      <c r="G92" s="68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85"/>
      <c r="F93" s="4"/>
      <c r="G93" s="68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85"/>
      <c r="F94" s="4"/>
      <c r="G94" s="68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85"/>
      <c r="F95" s="4"/>
      <c r="G95" s="68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85"/>
      <c r="F96" s="4"/>
      <c r="G96" s="68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85"/>
      <c r="F97" s="4"/>
      <c r="G97" s="68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85"/>
      <c r="F98" s="4"/>
      <c r="G98" s="68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85"/>
      <c r="F99" s="4"/>
      <c r="G99" s="68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85"/>
      <c r="F100" s="4"/>
      <c r="G100" s="68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85"/>
      <c r="F101" s="4"/>
      <c r="G101" s="68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85"/>
      <c r="F102" s="4"/>
      <c r="G102" s="68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85"/>
      <c r="F103" s="4"/>
      <c r="G103" s="68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85"/>
      <c r="F104" s="4"/>
      <c r="G104" s="68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85"/>
      <c r="F105" s="4"/>
      <c r="G105" s="68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85"/>
      <c r="F106" s="4"/>
      <c r="G106" s="68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85"/>
      <c r="F107" s="4"/>
      <c r="G107" s="68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85"/>
      <c r="F108" s="4"/>
      <c r="G108" s="68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85"/>
      <c r="F109" s="4"/>
      <c r="G109" s="68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85"/>
      <c r="F110" s="4"/>
      <c r="G110" s="68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85"/>
      <c r="F111" s="4"/>
      <c r="G111" s="68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85"/>
      <c r="F112" s="4"/>
      <c r="G112" s="68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85"/>
      <c r="F113" s="4"/>
      <c r="G113" s="68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85"/>
      <c r="F114" s="4"/>
      <c r="G114" s="68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85"/>
      <c r="F115" s="4"/>
      <c r="G115" s="68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85"/>
      <c r="F116" s="4"/>
      <c r="G116" s="68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85"/>
      <c r="F117" s="4"/>
      <c r="G117" s="68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85"/>
      <c r="F118" s="4"/>
      <c r="G118" s="68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85"/>
      <c r="F119" s="4"/>
      <c r="G119" s="68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85"/>
      <c r="F120" s="4"/>
      <c r="G120" s="68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85"/>
      <c r="F121" s="4"/>
      <c r="G121" s="68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85"/>
      <c r="F122" s="4"/>
      <c r="G122" s="68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85"/>
      <c r="F123" s="4"/>
      <c r="G123" s="68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85"/>
      <c r="F124" s="4"/>
      <c r="G124" s="68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85"/>
      <c r="F125" s="4"/>
      <c r="G125" s="68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85"/>
      <c r="F126" s="4"/>
      <c r="G126" s="68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85"/>
      <c r="F127" s="4"/>
      <c r="G127" s="68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85"/>
      <c r="F128" s="4"/>
      <c r="G128" s="68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85"/>
      <c r="F129" s="4"/>
      <c r="G129" s="68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85"/>
      <c r="F130" s="4"/>
      <c r="G130" s="68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85"/>
      <c r="F131" s="4"/>
      <c r="G131" s="68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85"/>
      <c r="F132" s="4"/>
      <c r="G132" s="68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85"/>
      <c r="F133" s="4"/>
      <c r="G133" s="68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85"/>
      <c r="F134" s="4"/>
      <c r="G134" s="68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85"/>
      <c r="F135" s="4"/>
      <c r="G135" s="68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85"/>
      <c r="F136" s="4"/>
      <c r="G136" s="68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85"/>
      <c r="F137" s="4"/>
      <c r="G137" s="68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85"/>
      <c r="F138" s="4"/>
      <c r="G138" s="68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85"/>
      <c r="F139" s="4"/>
      <c r="G139" s="68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85"/>
      <c r="F140" s="4"/>
      <c r="G140" s="68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85"/>
      <c r="F141" s="4"/>
      <c r="G141" s="68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85"/>
      <c r="F142" s="4"/>
      <c r="G142" s="68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85"/>
      <c r="F143" s="4"/>
      <c r="G143" s="68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85"/>
      <c r="F144" s="4"/>
      <c r="G144" s="68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68"/>
      <c r="G145" s="68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68"/>
      <c r="G146" s="68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68"/>
      <c r="G147" s="68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68"/>
      <c r="G148" s="68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68"/>
      <c r="G149" s="68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68"/>
      <c r="G150" s="68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68"/>
      <c r="G151" s="68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68"/>
      <c r="G152" s="68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68"/>
      <c r="G153" s="68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68"/>
      <c r="G154" s="68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68"/>
      <c r="G155" s="68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68"/>
      <c r="G156" s="68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68"/>
      <c r="G157" s="68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68"/>
      <c r="G158" s="68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68"/>
      <c r="G159" s="68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68"/>
      <c r="G160" s="68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68"/>
      <c r="G161" s="68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68"/>
      <c r="G162" s="68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68"/>
      <c r="G163" s="68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68"/>
      <c r="G164" s="68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68"/>
      <c r="G165" s="68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68"/>
      <c r="G166" s="68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68"/>
      <c r="G167" s="68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68"/>
      <c r="G168" s="68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68"/>
      <c r="G169" s="68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68"/>
      <c r="G170" s="68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68"/>
      <c r="G171" s="68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68"/>
      <c r="G172" s="68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68"/>
      <c r="G173" s="68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68"/>
      <c r="G174" s="68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68"/>
      <c r="G175" s="68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68"/>
      <c r="G176" s="68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68"/>
      <c r="G177" s="68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68"/>
      <c r="G178" s="68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68"/>
      <c r="G179" s="68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68"/>
      <c r="G180" s="68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68"/>
      <c r="G181" s="68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68"/>
      <c r="G182" s="68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68"/>
      <c r="G183" s="68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68"/>
      <c r="G184" s="68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68"/>
      <c r="G185" s="68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68"/>
      <c r="G186" s="68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68"/>
      <c r="G187" s="68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68"/>
      <c r="G188" s="68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68"/>
      <c r="G189" s="68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68"/>
      <c r="G190" s="68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68"/>
      <c r="G191" s="68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68"/>
      <c r="G192" s="68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68"/>
      <c r="G193" s="68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68"/>
      <c r="G194" s="68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68"/>
      <c r="G195" s="68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68"/>
      <c r="G196" s="68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68"/>
      <c r="G197" s="68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68"/>
      <c r="G198" s="68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68"/>
      <c r="G199" s="68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68"/>
      <c r="G200" s="68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68"/>
      <c r="G201" s="68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68"/>
      <c r="G202" s="68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68"/>
      <c r="G203" s="68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68"/>
      <c r="G204" s="68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68"/>
      <c r="G205" s="68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68"/>
      <c r="G206" s="68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68"/>
      <c r="G207" s="68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68"/>
      <c r="G208" s="68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68"/>
      <c r="G209" s="68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68"/>
      <c r="G210" s="68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68"/>
      <c r="G211" s="68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68"/>
      <c r="G212" s="68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6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6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6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6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6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6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6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6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6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6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6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6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6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6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6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6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6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6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6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6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6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6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6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6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6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6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6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6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6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6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6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6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6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6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6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6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6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6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6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6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6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6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6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6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6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6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6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6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6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6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6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6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6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6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6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6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6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6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6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6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6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6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6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6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6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6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6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6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6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6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6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6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6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6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6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6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6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6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6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6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6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6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6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6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6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6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6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6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6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6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6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6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6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6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6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6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6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6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6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6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6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6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6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6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6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6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6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6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6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6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6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6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6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6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6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6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6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6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6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6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6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6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6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6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6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6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6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6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6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6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6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6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6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6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6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6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6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6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6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6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6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6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6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6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6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6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6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6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6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6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6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6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6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6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6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6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6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6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6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6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6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6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6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6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6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6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6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6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6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6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6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6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6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6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6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6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6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6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6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6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6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6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6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6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6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6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6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6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6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6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6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6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6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6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6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6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6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6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6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6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6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6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6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6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6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6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6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6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6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6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6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6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6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6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6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6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6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6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6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6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6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6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6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6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6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6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6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6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6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6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6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6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6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6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6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6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6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6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6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6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6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6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6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6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6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6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6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6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6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6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6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6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6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6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6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6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6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6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6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6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6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6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6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6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6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6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6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6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6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6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6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6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6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6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6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6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6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6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6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6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6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6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6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6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6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6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6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6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6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6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6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6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6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6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6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6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6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6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6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6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6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6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6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6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6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6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6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6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6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6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6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6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6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6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6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6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6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6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6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6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6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6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6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6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6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6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6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6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6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6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6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6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6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6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6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6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6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6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6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6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6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6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6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6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6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6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6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6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6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6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6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6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6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6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6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6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6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6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6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6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6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6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6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6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6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6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6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6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6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6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6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6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6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6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6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6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6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6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6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6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6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6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6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6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6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6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6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6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6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6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6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6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6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6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6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6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6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6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6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6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6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6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6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6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6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6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6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6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6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6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6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6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6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6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6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6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6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6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6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6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6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6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6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6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6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6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6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6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6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6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6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6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6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6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6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6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6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6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6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6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6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6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6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6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6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6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6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6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6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6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6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6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6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6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6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6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6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6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6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6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6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6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6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6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6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6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6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6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6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6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6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6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6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6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6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6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6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6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6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6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6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6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6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6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6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6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6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6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6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6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6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6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6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6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6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6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6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6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6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6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6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6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6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6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6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6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6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6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6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6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6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6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6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6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6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6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6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6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6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6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6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6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6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6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6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6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6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6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6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6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6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6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6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6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6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6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6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6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6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6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6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6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6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6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6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6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6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6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6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6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6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6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6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6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6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6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6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6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6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6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6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6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6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6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6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6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6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6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6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6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6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6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6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6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6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6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6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6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6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6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6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6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6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6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6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6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6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6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6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6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6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6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6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6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6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6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6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6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6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6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6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6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6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6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6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6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6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6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6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6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6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6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6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6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6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6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6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6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6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6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6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6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6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6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6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6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6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6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6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6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6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6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6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6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6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6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6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6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6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6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6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6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6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6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6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6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6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6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6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6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6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6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6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6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6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6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6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6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6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6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6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6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6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6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6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6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6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6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6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6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6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6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6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6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6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6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6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6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6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6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6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6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6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6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6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6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6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6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6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6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6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6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6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6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6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6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6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6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6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6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6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6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6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6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6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6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6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6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6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6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6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6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6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6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6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6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6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6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6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6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6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6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6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6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6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6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6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6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6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6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6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6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6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6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6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6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6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6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6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6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6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6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6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6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6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6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6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6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6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6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6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6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6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6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6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6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6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6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6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86"/>
      <c r="V971" s="86"/>
      <c r="W971" s="86"/>
      <c r="X971" s="86"/>
      <c r="Y971" s="86"/>
      <c r="Z971" s="86"/>
    </row>
    <row r="972">
      <c r="A972" s="4"/>
      <c r="B972" s="4"/>
      <c r="C972" s="4"/>
      <c r="D972" s="4"/>
      <c r="E972" s="4"/>
      <c r="F972" s="4"/>
      <c r="G972" s="4"/>
      <c r="H972" s="6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86"/>
      <c r="V972" s="86"/>
      <c r="W972" s="86"/>
      <c r="X972" s="86"/>
      <c r="Y972" s="86"/>
      <c r="Z972" s="86"/>
    </row>
    <row r="973">
      <c r="A973" s="4"/>
      <c r="B973" s="4"/>
      <c r="C973" s="4"/>
      <c r="D973" s="4"/>
      <c r="E973" s="4"/>
      <c r="F973" s="4"/>
      <c r="G973" s="4"/>
      <c r="H973" s="6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86"/>
      <c r="V973" s="86"/>
      <c r="W973" s="86"/>
      <c r="X973" s="86"/>
      <c r="Y973" s="86"/>
      <c r="Z973" s="86"/>
    </row>
    <row r="974">
      <c r="A974" s="4"/>
      <c r="B974" s="4"/>
      <c r="C974" s="4"/>
      <c r="D974" s="4"/>
      <c r="E974" s="4"/>
      <c r="F974" s="4"/>
      <c r="G974" s="4"/>
      <c r="H974" s="6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86"/>
      <c r="V974" s="86"/>
      <c r="W974" s="86"/>
      <c r="X974" s="86"/>
      <c r="Y974" s="86"/>
      <c r="Z974" s="86"/>
    </row>
    <row r="975">
      <c r="A975" s="4"/>
      <c r="B975" s="4"/>
      <c r="C975" s="4"/>
      <c r="D975" s="4"/>
      <c r="E975" s="4"/>
      <c r="F975" s="4"/>
      <c r="G975" s="4"/>
      <c r="H975" s="6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86"/>
      <c r="V975" s="86"/>
      <c r="W975" s="86"/>
      <c r="X975" s="86"/>
      <c r="Y975" s="86"/>
      <c r="Z975" s="86"/>
    </row>
    <row r="976">
      <c r="A976" s="4"/>
      <c r="B976" s="4"/>
      <c r="C976" s="4"/>
      <c r="D976" s="4"/>
      <c r="E976" s="4"/>
      <c r="F976" s="4"/>
      <c r="G976" s="4"/>
      <c r="H976" s="6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86"/>
      <c r="V976" s="86"/>
      <c r="W976" s="86"/>
      <c r="X976" s="86"/>
      <c r="Y976" s="86"/>
      <c r="Z976" s="86"/>
    </row>
    <row r="977">
      <c r="A977" s="4"/>
      <c r="B977" s="4"/>
      <c r="C977" s="4"/>
      <c r="D977" s="4"/>
      <c r="E977" s="4"/>
      <c r="F977" s="4"/>
      <c r="G977" s="4"/>
      <c r="H977" s="6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86"/>
      <c r="V977" s="86"/>
      <c r="W977" s="86"/>
      <c r="X977" s="86"/>
      <c r="Y977" s="86"/>
      <c r="Z977" s="86"/>
    </row>
    <row r="978">
      <c r="A978" s="4"/>
      <c r="B978" s="4"/>
      <c r="C978" s="4"/>
      <c r="D978" s="4"/>
      <c r="E978" s="4"/>
      <c r="F978" s="4"/>
      <c r="G978" s="4"/>
      <c r="H978" s="6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86"/>
      <c r="V978" s="86"/>
      <c r="W978" s="86"/>
      <c r="X978" s="86"/>
      <c r="Y978" s="86"/>
      <c r="Z978" s="86"/>
    </row>
    <row r="979">
      <c r="A979" s="4"/>
      <c r="B979" s="4"/>
      <c r="C979" s="4"/>
      <c r="D979" s="4"/>
      <c r="E979" s="4"/>
      <c r="F979" s="4"/>
      <c r="G979" s="4"/>
      <c r="H979" s="6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86"/>
      <c r="V979" s="86"/>
      <c r="W979" s="86"/>
      <c r="X979" s="86"/>
      <c r="Y979" s="86"/>
      <c r="Z979" s="86"/>
    </row>
    <row r="980">
      <c r="A980" s="4"/>
      <c r="B980" s="4"/>
      <c r="C980" s="4"/>
      <c r="D980" s="4"/>
      <c r="E980" s="4"/>
      <c r="F980" s="4"/>
      <c r="G980" s="4"/>
      <c r="H980" s="6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86"/>
      <c r="V980" s="86"/>
      <c r="W980" s="86"/>
      <c r="X980" s="86"/>
      <c r="Y980" s="86"/>
      <c r="Z980" s="86"/>
    </row>
    <row r="981">
      <c r="A981" s="4"/>
      <c r="B981" s="4"/>
      <c r="C981" s="4"/>
      <c r="D981" s="4"/>
      <c r="E981" s="4"/>
      <c r="F981" s="4"/>
      <c r="G981" s="4"/>
      <c r="H981" s="6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86"/>
      <c r="V981" s="86"/>
      <c r="W981" s="86"/>
      <c r="X981" s="86"/>
      <c r="Y981" s="86"/>
      <c r="Z981" s="86"/>
    </row>
    <row r="982">
      <c r="A982" s="4"/>
      <c r="B982" s="4"/>
      <c r="C982" s="4"/>
      <c r="D982" s="4"/>
      <c r="E982" s="4"/>
      <c r="F982" s="4"/>
      <c r="G982" s="4"/>
      <c r="H982" s="6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86"/>
      <c r="V982" s="86"/>
      <c r="W982" s="86"/>
      <c r="X982" s="86"/>
      <c r="Y982" s="86"/>
      <c r="Z982" s="86"/>
    </row>
    <row r="983">
      <c r="A983" s="4"/>
      <c r="B983" s="4"/>
      <c r="C983" s="4"/>
      <c r="D983" s="4"/>
      <c r="E983" s="4"/>
      <c r="F983" s="4"/>
      <c r="G983" s="4"/>
      <c r="H983" s="6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86"/>
      <c r="V983" s="86"/>
      <c r="W983" s="86"/>
      <c r="X983" s="86"/>
      <c r="Y983" s="86"/>
      <c r="Z983" s="86"/>
    </row>
    <row r="984">
      <c r="A984" s="4"/>
      <c r="B984" s="4"/>
      <c r="C984" s="4"/>
      <c r="D984" s="4"/>
      <c r="E984" s="4"/>
      <c r="F984" s="4"/>
      <c r="G984" s="4"/>
      <c r="H984" s="6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86"/>
      <c r="V984" s="86"/>
      <c r="W984" s="86"/>
      <c r="X984" s="86"/>
      <c r="Y984" s="86"/>
      <c r="Z984" s="86"/>
    </row>
    <row r="985">
      <c r="A985" s="4"/>
      <c r="B985" s="4"/>
      <c r="C985" s="4"/>
      <c r="D985" s="4"/>
      <c r="E985" s="4"/>
      <c r="F985" s="4"/>
      <c r="G985" s="4"/>
      <c r="H985" s="6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86"/>
      <c r="V985" s="86"/>
      <c r="W985" s="86"/>
      <c r="X985" s="86"/>
      <c r="Y985" s="86"/>
      <c r="Z985" s="86"/>
    </row>
    <row r="986">
      <c r="A986" s="4"/>
      <c r="B986" s="4"/>
      <c r="C986" s="4"/>
      <c r="D986" s="4"/>
      <c r="E986" s="4"/>
      <c r="F986" s="4"/>
      <c r="G986" s="4"/>
      <c r="H986" s="6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86"/>
      <c r="V986" s="86"/>
      <c r="W986" s="86"/>
      <c r="X986" s="86"/>
      <c r="Y986" s="86"/>
      <c r="Z986" s="86"/>
    </row>
    <row r="987">
      <c r="A987" s="4"/>
      <c r="B987" s="4"/>
      <c r="C987" s="4"/>
      <c r="D987" s="4"/>
      <c r="E987" s="4"/>
      <c r="F987" s="4"/>
      <c r="G987" s="4"/>
      <c r="H987" s="6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86"/>
      <c r="V987" s="86"/>
      <c r="W987" s="86"/>
      <c r="X987" s="86"/>
      <c r="Y987" s="86"/>
      <c r="Z987" s="86"/>
    </row>
    <row r="988">
      <c r="A988" s="4"/>
      <c r="B988" s="4"/>
      <c r="C988" s="4"/>
      <c r="D988" s="4"/>
      <c r="E988" s="4"/>
      <c r="F988" s="4"/>
      <c r="G988" s="4"/>
      <c r="H988" s="6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86"/>
      <c r="V988" s="86"/>
      <c r="W988" s="86"/>
      <c r="X988" s="86"/>
      <c r="Y988" s="86"/>
      <c r="Z988" s="86"/>
    </row>
    <row r="989">
      <c r="A989" s="4"/>
      <c r="B989" s="4"/>
      <c r="C989" s="4"/>
      <c r="D989" s="4"/>
      <c r="E989" s="4"/>
      <c r="F989" s="4"/>
      <c r="G989" s="4"/>
      <c r="H989" s="6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86"/>
      <c r="V989" s="86"/>
      <c r="W989" s="86"/>
      <c r="X989" s="86"/>
      <c r="Y989" s="86"/>
      <c r="Z989" s="86"/>
    </row>
    <row r="990">
      <c r="A990" s="4"/>
      <c r="B990" s="4"/>
      <c r="C990" s="4"/>
      <c r="D990" s="4"/>
      <c r="E990" s="4"/>
      <c r="F990" s="4"/>
      <c r="G990" s="4"/>
      <c r="H990" s="6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86"/>
      <c r="V990" s="86"/>
      <c r="W990" s="86"/>
      <c r="X990" s="86"/>
      <c r="Y990" s="86"/>
      <c r="Z990" s="86"/>
    </row>
    <row r="991">
      <c r="A991" s="4"/>
      <c r="B991" s="4"/>
      <c r="C991" s="4"/>
      <c r="D991" s="4"/>
      <c r="E991" s="4"/>
      <c r="F991" s="4"/>
      <c r="G991" s="4"/>
      <c r="H991" s="6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86"/>
      <c r="V991" s="86"/>
      <c r="W991" s="86"/>
      <c r="X991" s="86"/>
      <c r="Y991" s="86"/>
      <c r="Z991" s="86"/>
    </row>
    <row r="992">
      <c r="A992" s="4"/>
      <c r="B992" s="4"/>
      <c r="C992" s="4"/>
      <c r="D992" s="4"/>
      <c r="E992" s="4"/>
      <c r="F992" s="4"/>
      <c r="G992" s="4"/>
      <c r="H992" s="6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86"/>
      <c r="V992" s="86"/>
      <c r="W992" s="86"/>
      <c r="X992" s="86"/>
      <c r="Y992" s="86"/>
      <c r="Z992" s="86"/>
    </row>
    <row r="993">
      <c r="A993" s="4"/>
      <c r="B993" s="4"/>
      <c r="C993" s="4"/>
      <c r="D993" s="4"/>
      <c r="E993" s="4"/>
      <c r="F993" s="4"/>
      <c r="G993" s="4"/>
      <c r="H993" s="68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86"/>
      <c r="V993" s="86"/>
      <c r="W993" s="86"/>
      <c r="X993" s="86"/>
      <c r="Y993" s="86"/>
      <c r="Z993" s="86"/>
    </row>
    <row r="994">
      <c r="A994" s="4"/>
      <c r="B994" s="4"/>
      <c r="C994" s="4"/>
      <c r="D994" s="4"/>
      <c r="E994" s="4"/>
      <c r="F994" s="4"/>
      <c r="G994" s="4"/>
      <c r="H994" s="68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86"/>
      <c r="V994" s="86"/>
      <c r="W994" s="86"/>
      <c r="X994" s="86"/>
      <c r="Y994" s="86"/>
      <c r="Z994" s="86"/>
    </row>
  </sheetData>
  <autoFilter ref="$A$7:$G$212">
    <sortState ref="A7:G212">
      <sortCondition ref="D7:D212"/>
      <sortCondition ref="C7:C212"/>
    </sortState>
  </autoFilter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61" t="s">
        <v>25</v>
      </c>
      <c r="C1" s="62" t="s">
        <v>26</v>
      </c>
      <c r="D1" s="63" t="s">
        <v>20</v>
      </c>
      <c r="E1" s="64" t="s">
        <v>21</v>
      </c>
      <c r="F1" s="65" t="s">
        <v>22</v>
      </c>
      <c r="G1" s="66" t="s">
        <v>23</v>
      </c>
      <c r="H1" s="67" t="s">
        <v>24</v>
      </c>
      <c r="I1" s="6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1" t="s">
        <v>27</v>
      </c>
      <c r="B2" s="69">
        <f>SUM(G7:G962)</f>
        <v>4134.768</v>
      </c>
      <c r="C2" s="70">
        <f>SUMIF(F8:F960,"MÉDIA MULTI-ANNONCEURS",G8:G960)</f>
        <v>0</v>
      </c>
      <c r="D2" s="71">
        <f>SUMIF(F8:F960,"PROMOTIONNEL",G8:G960)</f>
        <v>4109.768</v>
      </c>
      <c r="E2" s="72">
        <f>SUMIF(F8:F960,"DIST. PUBLICITAIRE SOLO",G8:G960)</f>
        <v>0</v>
      </c>
      <c r="F2" s="73">
        <f>SUMIF(F8:F960,"AGENCE PUB",G8:G960)</f>
        <v>25</v>
      </c>
      <c r="G2" s="74">
        <f>SUMIF(F8:F960,"AGENCE WEB",G8:G960)</f>
        <v>0</v>
      </c>
      <c r="H2" s="75">
        <f>SUMIF(F8:F960,"SERVICES IA",G8:G960)</f>
        <v>0</v>
      </c>
      <c r="I2" s="6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6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1" t="s">
        <v>28</v>
      </c>
      <c r="B4" s="69">
        <f>SUM(B8:B962)</f>
        <v>41347.68</v>
      </c>
      <c r="C4" s="70">
        <f>SUMIF(F8:F960,"MÉDIA MULTI-ANNONCEURS",B8:B960)</f>
        <v>0</v>
      </c>
      <c r="D4" s="71">
        <f>SUMIF(F8:F960,"PROMOTIONNEL",B8:B960)</f>
        <v>41097.68</v>
      </c>
      <c r="E4" s="72">
        <f>SUMIF(F8:F960,"DIST. PUBLICITAIRE SOLO",B8:B960)</f>
        <v>0</v>
      </c>
      <c r="F4" s="73">
        <f>SUMIF(F8:F960,"AGENCE PUB",B8:B960)</f>
        <v>250</v>
      </c>
      <c r="G4" s="74">
        <f>SUMIF(F8:F960,"AGENCE WEB",B8:B960)</f>
        <v>0</v>
      </c>
      <c r="H4" s="75">
        <f>SUMIF(F8:F960,"SERVICES IA",B8:B960)</f>
        <v>0</v>
      </c>
      <c r="I4" s="6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6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68"/>
      <c r="C6" s="68"/>
      <c r="D6" s="68"/>
      <c r="E6" s="68"/>
      <c r="F6" s="68"/>
      <c r="G6" s="68"/>
      <c r="H6" s="4"/>
      <c r="I6" s="6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1" t="s">
        <v>29</v>
      </c>
      <c r="B7" s="76" t="s">
        <v>30</v>
      </c>
      <c r="C7" s="77" t="s">
        <v>31</v>
      </c>
      <c r="D7" s="77" t="s">
        <v>32</v>
      </c>
      <c r="E7" s="76" t="s">
        <v>33</v>
      </c>
      <c r="F7" s="78" t="s">
        <v>34</v>
      </c>
      <c r="G7" s="78" t="s">
        <v>35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9" t="s">
        <v>64</v>
      </c>
      <c r="B8" s="80">
        <v>73.98</v>
      </c>
      <c r="C8" s="81" t="s">
        <v>80</v>
      </c>
      <c r="D8" s="82">
        <v>46058.0</v>
      </c>
      <c r="E8" s="83" t="s">
        <v>38</v>
      </c>
      <c r="F8" s="79" t="s">
        <v>20</v>
      </c>
      <c r="G8" s="68">
        <f t="shared" ref="G8:G166" si="1">B8*0.1</f>
        <v>7.398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79" t="s">
        <v>81</v>
      </c>
      <c r="B9" s="80">
        <v>295.0</v>
      </c>
      <c r="C9" s="81" t="s">
        <v>82</v>
      </c>
      <c r="D9" s="82">
        <v>46058.0</v>
      </c>
      <c r="E9" s="83" t="s">
        <v>38</v>
      </c>
      <c r="F9" s="79" t="s">
        <v>20</v>
      </c>
      <c r="G9" s="68">
        <f t="shared" si="1"/>
        <v>29.5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79" t="s">
        <v>83</v>
      </c>
      <c r="B10" s="80">
        <v>4172.56</v>
      </c>
      <c r="C10" s="81" t="s">
        <v>84</v>
      </c>
      <c r="D10" s="82">
        <v>46056.0</v>
      </c>
      <c r="E10" s="83" t="s">
        <v>38</v>
      </c>
      <c r="F10" s="79" t="s">
        <v>20</v>
      </c>
      <c r="G10" s="68">
        <f t="shared" si="1"/>
        <v>417.256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79" t="s">
        <v>85</v>
      </c>
      <c r="B11" s="80">
        <v>149.58</v>
      </c>
      <c r="C11" s="81" t="s">
        <v>86</v>
      </c>
      <c r="D11" s="82">
        <v>46055.0</v>
      </c>
      <c r="E11" s="83" t="s">
        <v>38</v>
      </c>
      <c r="F11" s="79" t="s">
        <v>20</v>
      </c>
      <c r="G11" s="68">
        <f t="shared" si="1"/>
        <v>14.958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79" t="s">
        <v>49</v>
      </c>
      <c r="B12" s="80">
        <v>206.35</v>
      </c>
      <c r="C12" s="81" t="s">
        <v>87</v>
      </c>
      <c r="D12" s="82">
        <v>46055.0</v>
      </c>
      <c r="E12" s="83" t="s">
        <v>38</v>
      </c>
      <c r="F12" s="79" t="s">
        <v>20</v>
      </c>
      <c r="G12" s="68">
        <f t="shared" si="1"/>
        <v>20.635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79" t="s">
        <v>88</v>
      </c>
      <c r="B13" s="80">
        <v>534.0</v>
      </c>
      <c r="C13" s="81" t="s">
        <v>89</v>
      </c>
      <c r="D13" s="82">
        <v>46055.0</v>
      </c>
      <c r="E13" s="83" t="s">
        <v>38</v>
      </c>
      <c r="F13" s="79" t="s">
        <v>20</v>
      </c>
      <c r="G13" s="68">
        <f t="shared" si="1"/>
        <v>53.4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79" t="s">
        <v>90</v>
      </c>
      <c r="B14" s="80">
        <v>1375.4</v>
      </c>
      <c r="C14" s="81" t="s">
        <v>91</v>
      </c>
      <c r="D14" s="82">
        <v>46066.0</v>
      </c>
      <c r="E14" s="83" t="s">
        <v>38</v>
      </c>
      <c r="F14" s="79" t="s">
        <v>20</v>
      </c>
      <c r="G14" s="68">
        <f t="shared" si="1"/>
        <v>137.54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79" t="s">
        <v>92</v>
      </c>
      <c r="B15" s="80">
        <v>2877.0</v>
      </c>
      <c r="C15" s="81" t="s">
        <v>93</v>
      </c>
      <c r="D15" s="82">
        <v>46066.0</v>
      </c>
      <c r="E15" s="83" t="s">
        <v>38</v>
      </c>
      <c r="F15" s="79" t="s">
        <v>20</v>
      </c>
      <c r="G15" s="68">
        <f t="shared" si="1"/>
        <v>287.7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79" t="s">
        <v>94</v>
      </c>
      <c r="B16" s="80">
        <v>1659.96</v>
      </c>
      <c r="C16" s="81" t="s">
        <v>95</v>
      </c>
      <c r="D16" s="82">
        <v>46066.0</v>
      </c>
      <c r="E16" s="83" t="s">
        <v>38</v>
      </c>
      <c r="F16" s="79" t="s">
        <v>20</v>
      </c>
      <c r="G16" s="68">
        <f t="shared" si="1"/>
        <v>165.996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79" t="s">
        <v>96</v>
      </c>
      <c r="B17" s="80">
        <v>1994.7</v>
      </c>
      <c r="C17" s="81" t="s">
        <v>97</v>
      </c>
      <c r="D17" s="82">
        <v>46066.0</v>
      </c>
      <c r="E17" s="83" t="s">
        <v>38</v>
      </c>
      <c r="F17" s="79" t="s">
        <v>20</v>
      </c>
      <c r="G17" s="68">
        <f t="shared" si="1"/>
        <v>199.47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79" t="s">
        <v>98</v>
      </c>
      <c r="B18" s="80">
        <v>520.74</v>
      </c>
      <c r="C18" s="81" t="s">
        <v>99</v>
      </c>
      <c r="D18" s="82">
        <v>46062.0</v>
      </c>
      <c r="E18" s="83" t="s">
        <v>38</v>
      </c>
      <c r="F18" s="79" t="s">
        <v>20</v>
      </c>
      <c r="G18" s="68">
        <f t="shared" si="1"/>
        <v>52.074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79" t="s">
        <v>92</v>
      </c>
      <c r="B19" s="80">
        <v>6264.19</v>
      </c>
      <c r="C19" s="81" t="s">
        <v>100</v>
      </c>
      <c r="D19" s="82">
        <v>46062.0</v>
      </c>
      <c r="E19" s="83" t="s">
        <v>38</v>
      </c>
      <c r="F19" s="79" t="s">
        <v>20</v>
      </c>
      <c r="G19" s="68">
        <f t="shared" si="1"/>
        <v>626.419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79" t="s">
        <v>101</v>
      </c>
      <c r="B20" s="80">
        <v>754.59</v>
      </c>
      <c r="C20" s="81" t="s">
        <v>102</v>
      </c>
      <c r="D20" s="82">
        <v>46062.0</v>
      </c>
      <c r="E20" s="83" t="s">
        <v>38</v>
      </c>
      <c r="F20" s="79" t="s">
        <v>20</v>
      </c>
      <c r="G20" s="68">
        <f t="shared" si="1"/>
        <v>75.459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79" t="s">
        <v>103</v>
      </c>
      <c r="B21" s="80">
        <v>1080.0</v>
      </c>
      <c r="C21" s="81" t="s">
        <v>104</v>
      </c>
      <c r="D21" s="82">
        <v>46072.0</v>
      </c>
      <c r="E21" s="83" t="s">
        <v>38</v>
      </c>
      <c r="F21" s="79" t="s">
        <v>20</v>
      </c>
      <c r="G21" s="68">
        <f t="shared" si="1"/>
        <v>108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79" t="s">
        <v>105</v>
      </c>
      <c r="B22" s="80">
        <v>576.6</v>
      </c>
      <c r="C22" s="81" t="s">
        <v>106</v>
      </c>
      <c r="D22" s="82">
        <v>46071.0</v>
      </c>
      <c r="E22" s="83" t="s">
        <v>38</v>
      </c>
      <c r="F22" s="79" t="s">
        <v>20</v>
      </c>
      <c r="G22" s="68">
        <f t="shared" si="1"/>
        <v>57.66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79" t="s">
        <v>36</v>
      </c>
      <c r="B23" s="80">
        <v>33.4</v>
      </c>
      <c r="C23" s="81" t="s">
        <v>107</v>
      </c>
      <c r="D23" s="82">
        <v>46072.0</v>
      </c>
      <c r="E23" s="83" t="s">
        <v>38</v>
      </c>
      <c r="F23" s="79" t="s">
        <v>20</v>
      </c>
      <c r="G23" s="68">
        <f t="shared" si="1"/>
        <v>3.34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79" t="s">
        <v>108</v>
      </c>
      <c r="B24" s="80">
        <v>240.0</v>
      </c>
      <c r="C24" s="81" t="s">
        <v>109</v>
      </c>
      <c r="D24" s="82">
        <v>46073.0</v>
      </c>
      <c r="E24" s="83" t="s">
        <v>38</v>
      </c>
      <c r="F24" s="79" t="s">
        <v>20</v>
      </c>
      <c r="G24" s="68">
        <f t="shared" si="1"/>
        <v>24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79" t="s">
        <v>110</v>
      </c>
      <c r="B25" s="80">
        <v>1356.5</v>
      </c>
      <c r="C25" s="81" t="s">
        <v>111</v>
      </c>
      <c r="D25" s="82">
        <v>46071.0</v>
      </c>
      <c r="E25" s="83" t="s">
        <v>38</v>
      </c>
      <c r="F25" s="79" t="s">
        <v>20</v>
      </c>
      <c r="G25" s="68">
        <f t="shared" si="1"/>
        <v>135.65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79" t="s">
        <v>112</v>
      </c>
      <c r="B26" s="80">
        <v>2106.34</v>
      </c>
      <c r="C26" s="81" t="s">
        <v>113</v>
      </c>
      <c r="D26" s="82">
        <v>46072.0</v>
      </c>
      <c r="E26" s="83" t="s">
        <v>38</v>
      </c>
      <c r="F26" s="79" t="s">
        <v>20</v>
      </c>
      <c r="G26" s="68">
        <f t="shared" si="1"/>
        <v>210.634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79" t="s">
        <v>114</v>
      </c>
      <c r="B27" s="80">
        <v>250.0</v>
      </c>
      <c r="C27" s="81" t="s">
        <v>115</v>
      </c>
      <c r="D27" s="82">
        <v>46081.0</v>
      </c>
      <c r="E27" s="83" t="s">
        <v>38</v>
      </c>
      <c r="F27" s="79" t="s">
        <v>116</v>
      </c>
      <c r="G27" s="68">
        <f t="shared" si="1"/>
        <v>25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79" t="s">
        <v>117</v>
      </c>
      <c r="B28" s="80">
        <v>423.0</v>
      </c>
      <c r="C28" s="81" t="s">
        <v>118</v>
      </c>
      <c r="D28" s="82">
        <v>46080.0</v>
      </c>
      <c r="E28" s="83" t="s">
        <v>38</v>
      </c>
      <c r="F28" s="79" t="s">
        <v>20</v>
      </c>
      <c r="G28" s="68">
        <f t="shared" si="1"/>
        <v>42.3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79" t="s">
        <v>119</v>
      </c>
      <c r="B29" s="80">
        <v>730.86</v>
      </c>
      <c r="C29" s="81" t="s">
        <v>120</v>
      </c>
      <c r="D29" s="82">
        <v>46079.0</v>
      </c>
      <c r="E29" s="83" t="s">
        <v>38</v>
      </c>
      <c r="F29" s="79" t="s">
        <v>20</v>
      </c>
      <c r="G29" s="68">
        <f t="shared" si="1"/>
        <v>73.086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79" t="s">
        <v>119</v>
      </c>
      <c r="B30" s="80">
        <v>2626.06</v>
      </c>
      <c r="C30" s="81" t="s">
        <v>121</v>
      </c>
      <c r="D30" s="82">
        <v>46079.0</v>
      </c>
      <c r="E30" s="83" t="s">
        <v>38</v>
      </c>
      <c r="F30" s="79" t="s">
        <v>20</v>
      </c>
      <c r="G30" s="68">
        <f t="shared" si="1"/>
        <v>262.606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79" t="s">
        <v>122</v>
      </c>
      <c r="B31" s="80">
        <v>10850.52</v>
      </c>
      <c r="C31" s="81" t="s">
        <v>123</v>
      </c>
      <c r="D31" s="82">
        <v>46079.0</v>
      </c>
      <c r="E31" s="83" t="s">
        <v>38</v>
      </c>
      <c r="F31" s="79" t="s">
        <v>20</v>
      </c>
      <c r="G31" s="68">
        <f t="shared" si="1"/>
        <v>1085.052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79" t="s">
        <v>117</v>
      </c>
      <c r="B32" s="80">
        <v>196.35</v>
      </c>
      <c r="C32" s="81" t="s">
        <v>124</v>
      </c>
      <c r="D32" s="82">
        <v>46077.0</v>
      </c>
      <c r="E32" s="83" t="s">
        <v>38</v>
      </c>
      <c r="F32" s="79" t="s">
        <v>20</v>
      </c>
      <c r="G32" s="68">
        <f t="shared" si="1"/>
        <v>19.635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79"/>
      <c r="B33" s="80"/>
      <c r="C33" s="81"/>
      <c r="D33" s="82"/>
      <c r="E33" s="83"/>
      <c r="F33" s="79"/>
      <c r="G33" s="68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84"/>
      <c r="B34" s="25"/>
      <c r="C34" s="25"/>
      <c r="D34" s="25"/>
      <c r="E34" s="85"/>
      <c r="F34" s="4"/>
      <c r="G34" s="68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84"/>
      <c r="B35" s="25"/>
      <c r="C35" s="25"/>
      <c r="D35" s="25"/>
      <c r="E35" s="85"/>
      <c r="F35" s="4"/>
      <c r="G35" s="68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84"/>
      <c r="B36" s="25"/>
      <c r="C36" s="25"/>
      <c r="D36" s="25"/>
      <c r="E36" s="85"/>
      <c r="F36" s="4"/>
      <c r="G36" s="68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84"/>
      <c r="B37" s="25"/>
      <c r="C37" s="25"/>
      <c r="D37" s="25"/>
      <c r="E37" s="85"/>
      <c r="F37" s="4"/>
      <c r="G37" s="68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85"/>
      <c r="F38" s="4"/>
      <c r="G38" s="68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85"/>
      <c r="F39" s="4"/>
      <c r="G39" s="68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85"/>
      <c r="F40" s="4"/>
      <c r="G40" s="68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85"/>
      <c r="F41" s="4"/>
      <c r="G41" s="68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85"/>
      <c r="F42" s="4"/>
      <c r="G42" s="68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85"/>
      <c r="F43" s="4"/>
      <c r="G43" s="68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85"/>
      <c r="F44" s="4"/>
      <c r="G44" s="68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85"/>
      <c r="F45" s="4"/>
      <c r="G45" s="68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85"/>
      <c r="F46" s="4"/>
      <c r="G46" s="68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85"/>
      <c r="F47" s="4"/>
      <c r="G47" s="68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85"/>
      <c r="F48" s="4"/>
      <c r="G48" s="68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85"/>
      <c r="F49" s="4"/>
      <c r="G49" s="68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85"/>
      <c r="F50" s="4"/>
      <c r="G50" s="68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85"/>
      <c r="F51" s="4"/>
      <c r="G51" s="68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85"/>
      <c r="F52" s="4"/>
      <c r="G52" s="68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85"/>
      <c r="F53" s="4"/>
      <c r="G53" s="68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85"/>
      <c r="F54" s="4"/>
      <c r="G54" s="68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85"/>
      <c r="F55" s="4"/>
      <c r="G55" s="68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85"/>
      <c r="F56" s="4"/>
      <c r="G56" s="68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85"/>
      <c r="F57" s="4"/>
      <c r="G57" s="68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85"/>
      <c r="F58" s="4"/>
      <c r="G58" s="68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85"/>
      <c r="F59" s="4"/>
      <c r="G59" s="68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85"/>
      <c r="F60" s="4"/>
      <c r="G60" s="68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85"/>
      <c r="F61" s="4"/>
      <c r="G61" s="68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85"/>
      <c r="F62" s="4"/>
      <c r="G62" s="68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85"/>
      <c r="F63" s="4"/>
      <c r="G63" s="68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85"/>
      <c r="F64" s="4"/>
      <c r="G64" s="68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85"/>
      <c r="F65" s="4"/>
      <c r="G65" s="68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85"/>
      <c r="F66" s="4"/>
      <c r="G66" s="68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85"/>
      <c r="F67" s="4"/>
      <c r="G67" s="68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85"/>
      <c r="F68" s="4"/>
      <c r="G68" s="68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85"/>
      <c r="F69" s="4"/>
      <c r="G69" s="68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85"/>
      <c r="F70" s="4"/>
      <c r="G70" s="68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85"/>
      <c r="F71" s="4"/>
      <c r="G71" s="68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85"/>
      <c r="F72" s="4"/>
      <c r="G72" s="68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85"/>
      <c r="F73" s="4"/>
      <c r="G73" s="68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85"/>
      <c r="F74" s="4"/>
      <c r="G74" s="68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85"/>
      <c r="F75" s="4"/>
      <c r="G75" s="68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85"/>
      <c r="F76" s="4"/>
      <c r="G76" s="68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85"/>
      <c r="F77" s="4"/>
      <c r="G77" s="68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85"/>
      <c r="F78" s="4"/>
      <c r="G78" s="68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85"/>
      <c r="F79" s="4"/>
      <c r="G79" s="68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85"/>
      <c r="F80" s="4"/>
      <c r="G80" s="68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85"/>
      <c r="F81" s="4"/>
      <c r="G81" s="68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85"/>
      <c r="F82" s="4"/>
      <c r="G82" s="68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85"/>
      <c r="F83" s="4"/>
      <c r="G83" s="68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85"/>
      <c r="F84" s="4"/>
      <c r="G84" s="68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85"/>
      <c r="F85" s="4"/>
      <c r="G85" s="68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85"/>
      <c r="F86" s="4"/>
      <c r="G86" s="68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85"/>
      <c r="F87" s="4"/>
      <c r="G87" s="68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85"/>
      <c r="F88" s="4"/>
      <c r="G88" s="68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85"/>
      <c r="F89" s="4"/>
      <c r="G89" s="68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85"/>
      <c r="F90" s="4"/>
      <c r="G90" s="68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85"/>
      <c r="F91" s="4"/>
      <c r="G91" s="68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85"/>
      <c r="F92" s="4"/>
      <c r="G92" s="68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85"/>
      <c r="F93" s="4"/>
      <c r="G93" s="68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85"/>
      <c r="F94" s="4"/>
      <c r="G94" s="68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85"/>
      <c r="F95" s="4"/>
      <c r="G95" s="68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85"/>
      <c r="F96" s="4"/>
      <c r="G96" s="68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85"/>
      <c r="F97" s="4"/>
      <c r="G97" s="68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85"/>
      <c r="F98" s="4"/>
      <c r="G98" s="68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85"/>
      <c r="F99" s="4"/>
      <c r="G99" s="68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85"/>
      <c r="F100" s="4"/>
      <c r="G100" s="68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85"/>
      <c r="F101" s="4"/>
      <c r="G101" s="68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85"/>
      <c r="F102" s="4"/>
      <c r="G102" s="68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85"/>
      <c r="F103" s="4"/>
      <c r="G103" s="68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85"/>
      <c r="F104" s="4"/>
      <c r="G104" s="68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85"/>
      <c r="F105" s="4"/>
      <c r="G105" s="68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85"/>
      <c r="F106" s="4"/>
      <c r="G106" s="68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85"/>
      <c r="F107" s="4"/>
      <c r="G107" s="68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85"/>
      <c r="F108" s="4"/>
      <c r="G108" s="68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85"/>
      <c r="F109" s="4"/>
      <c r="G109" s="68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85"/>
      <c r="F110" s="4"/>
      <c r="G110" s="68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85"/>
      <c r="F111" s="4"/>
      <c r="G111" s="68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85"/>
      <c r="F112" s="4"/>
      <c r="G112" s="68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85"/>
      <c r="F113" s="4"/>
      <c r="G113" s="68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85"/>
      <c r="F114" s="4"/>
      <c r="G114" s="68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85"/>
      <c r="F115" s="4"/>
      <c r="G115" s="68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85"/>
      <c r="F116" s="4"/>
      <c r="G116" s="68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85"/>
      <c r="F117" s="4"/>
      <c r="G117" s="68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85"/>
      <c r="F118" s="4"/>
      <c r="G118" s="68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85"/>
      <c r="F119" s="4"/>
      <c r="G119" s="68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85"/>
      <c r="F120" s="4"/>
      <c r="G120" s="68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85"/>
      <c r="F121" s="4"/>
      <c r="G121" s="68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85"/>
      <c r="F122" s="4"/>
      <c r="G122" s="68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85"/>
      <c r="F123" s="4"/>
      <c r="G123" s="68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85"/>
      <c r="F124" s="4"/>
      <c r="G124" s="68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85"/>
      <c r="F125" s="4"/>
      <c r="G125" s="68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85"/>
      <c r="F126" s="4"/>
      <c r="G126" s="68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85"/>
      <c r="F127" s="4"/>
      <c r="G127" s="68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85"/>
      <c r="F128" s="4"/>
      <c r="G128" s="68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85"/>
      <c r="F129" s="4"/>
      <c r="G129" s="68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85"/>
      <c r="F130" s="4"/>
      <c r="G130" s="68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85"/>
      <c r="F131" s="4"/>
      <c r="G131" s="68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85"/>
      <c r="F132" s="4"/>
      <c r="G132" s="68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85"/>
      <c r="F133" s="4"/>
      <c r="G133" s="68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85"/>
      <c r="F134" s="4"/>
      <c r="G134" s="68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85"/>
      <c r="F135" s="4"/>
      <c r="G135" s="68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85"/>
      <c r="F136" s="4"/>
      <c r="G136" s="68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85"/>
      <c r="F137" s="4"/>
      <c r="G137" s="68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85"/>
      <c r="F138" s="4"/>
      <c r="G138" s="68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85"/>
      <c r="F139" s="4"/>
      <c r="G139" s="68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85"/>
      <c r="F140" s="4"/>
      <c r="G140" s="68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85"/>
      <c r="F141" s="4"/>
      <c r="G141" s="68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85"/>
      <c r="F142" s="4"/>
      <c r="G142" s="68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85"/>
      <c r="F143" s="4"/>
      <c r="G143" s="68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85"/>
      <c r="F144" s="4"/>
      <c r="G144" s="68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68"/>
      <c r="G145" s="68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68"/>
      <c r="G146" s="68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68"/>
      <c r="G147" s="68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68"/>
      <c r="G148" s="68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68"/>
      <c r="G149" s="68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68"/>
      <c r="G150" s="68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68"/>
      <c r="G151" s="68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68"/>
      <c r="G152" s="68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68"/>
      <c r="G153" s="68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68"/>
      <c r="G154" s="68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68"/>
      <c r="G155" s="68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68"/>
      <c r="G156" s="68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68"/>
      <c r="G157" s="68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68"/>
      <c r="G158" s="68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68"/>
      <c r="G159" s="68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68"/>
      <c r="G160" s="68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68"/>
      <c r="G161" s="68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68"/>
      <c r="G162" s="68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68"/>
      <c r="G163" s="68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68"/>
      <c r="G164" s="68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68"/>
      <c r="G165" s="68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68"/>
      <c r="G166" s="68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68"/>
      <c r="G167" s="68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68"/>
      <c r="G168" s="68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68"/>
      <c r="G169" s="68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68"/>
      <c r="G170" s="68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68"/>
      <c r="G171" s="68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68"/>
      <c r="G172" s="68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68"/>
      <c r="G173" s="68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68"/>
      <c r="G174" s="68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68"/>
      <c r="G175" s="68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68"/>
      <c r="G176" s="68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68"/>
      <c r="G177" s="68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68"/>
      <c r="G178" s="68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68"/>
      <c r="G179" s="68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68"/>
      <c r="G180" s="68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68"/>
      <c r="G181" s="68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68"/>
      <c r="G182" s="68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68"/>
      <c r="G183" s="68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68"/>
      <c r="G184" s="68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68"/>
      <c r="G185" s="68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68"/>
      <c r="G186" s="68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68"/>
      <c r="G187" s="68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68"/>
      <c r="G188" s="68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68"/>
      <c r="G189" s="68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68"/>
      <c r="G190" s="68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68"/>
      <c r="G191" s="68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68"/>
      <c r="G192" s="68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68"/>
      <c r="G193" s="68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68"/>
      <c r="G194" s="68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68"/>
      <c r="G195" s="68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68"/>
      <c r="G196" s="68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68"/>
      <c r="G197" s="68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68"/>
      <c r="G198" s="68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68"/>
      <c r="G199" s="68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68"/>
      <c r="G200" s="68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68"/>
      <c r="G201" s="68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68"/>
      <c r="G202" s="68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68"/>
      <c r="G203" s="68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68"/>
      <c r="G204" s="68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68"/>
      <c r="G205" s="68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68"/>
      <c r="G206" s="68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68"/>
      <c r="G207" s="68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68"/>
      <c r="G208" s="68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68"/>
      <c r="G209" s="68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68"/>
      <c r="G210" s="68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68"/>
      <c r="G211" s="68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68"/>
      <c r="G212" s="68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6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6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6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6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6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6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6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6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6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6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6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6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6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6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6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6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6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6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6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6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6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6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6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6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6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6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6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6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6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6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6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6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6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6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6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6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6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6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6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6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6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6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6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6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6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6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6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6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6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6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6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6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6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6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6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6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6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6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6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6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6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6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6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6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6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6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6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6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6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6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6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6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6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6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6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6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6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6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6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6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6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6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6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6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6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6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6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6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6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6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6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6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6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6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6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6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6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6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6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6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6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6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6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6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6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6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6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6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6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6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6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6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6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6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6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6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6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6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6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6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6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6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6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6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6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6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6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6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6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6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6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6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6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6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6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6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6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6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6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6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6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6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6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6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6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6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6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6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6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6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6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6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6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6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6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6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6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6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6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6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6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6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6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6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6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6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6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6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6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6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6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6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6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6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6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6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6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6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6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6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6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6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6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6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6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6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6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6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6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6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6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6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6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6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6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6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6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6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6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6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6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6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6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6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6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6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6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6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6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6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6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6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6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6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6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6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6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6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6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6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6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6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6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6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6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6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6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6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6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6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6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6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6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6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6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6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6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6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6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6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6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6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6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6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6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6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6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6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6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6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6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6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6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6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6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6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6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6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6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6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6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6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6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6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6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6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6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6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6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6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6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6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6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6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6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6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6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6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6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6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6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6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6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6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6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6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6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6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6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6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6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6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6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6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6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6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6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6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6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6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6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6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6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6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6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6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6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6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6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6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6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6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6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6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6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6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6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6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6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6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6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6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6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6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6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6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6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6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6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6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6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6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6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6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6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6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6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6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6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6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6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6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6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6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6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6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6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6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6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6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6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6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6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6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6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6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6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6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6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6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6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6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6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6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6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6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6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6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6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6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6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6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6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6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6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6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6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6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6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6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6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6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6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6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6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6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6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6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6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6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6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6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6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6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6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6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6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6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6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6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6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6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6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6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6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6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6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6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6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6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6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6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6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6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6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6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6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6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6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6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6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6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6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6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6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6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6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6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6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6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6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6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6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6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6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6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6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6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6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6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6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6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6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6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6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6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6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6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6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6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6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6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6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6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6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6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6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6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6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6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6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6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6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6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6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6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6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6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6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6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6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6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6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6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6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6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6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6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6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6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6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6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6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6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6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6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6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6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6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6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6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6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6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6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6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6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6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6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6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6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6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6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6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6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6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6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6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6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6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6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6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6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6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6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6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6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6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6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6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6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6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6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6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6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6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6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6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6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6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6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6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6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6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6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6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6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6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6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6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6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6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6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6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6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6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6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6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6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6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6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6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6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6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6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6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6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6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6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6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6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6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6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6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6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6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6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6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6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6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6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6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6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6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6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6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6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6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6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6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6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6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6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6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6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6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6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6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6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6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6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6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6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6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6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6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6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6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6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6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6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6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6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6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6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6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6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6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6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6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6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6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6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6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6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6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6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6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6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6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6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6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6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6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6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6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6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6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6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6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6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6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6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6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6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6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6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6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6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6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6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6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6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6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6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6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6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6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6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6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6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6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6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6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6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6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6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6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6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6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6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6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6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6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6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6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6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6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6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6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6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6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6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6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6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6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6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6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6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6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6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6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6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6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6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6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6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6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6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6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6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6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6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6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6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6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6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6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6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6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6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6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6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6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6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6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6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6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6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6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6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6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6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6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6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6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6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6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6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6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6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6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6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6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6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6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6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6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6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6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6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6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6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6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6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6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6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6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6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6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6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6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6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6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6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6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6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6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6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6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6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6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6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6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6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6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6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6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6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6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86"/>
      <c r="V971" s="86"/>
      <c r="W971" s="86"/>
      <c r="X971" s="86"/>
      <c r="Y971" s="86"/>
      <c r="Z971" s="86"/>
    </row>
    <row r="972">
      <c r="A972" s="4"/>
      <c r="B972" s="4"/>
      <c r="C972" s="4"/>
      <c r="D972" s="4"/>
      <c r="E972" s="4"/>
      <c r="F972" s="4"/>
      <c r="G972" s="4"/>
      <c r="H972" s="6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86"/>
      <c r="V972" s="86"/>
      <c r="W972" s="86"/>
      <c r="X972" s="86"/>
      <c r="Y972" s="86"/>
      <c r="Z972" s="86"/>
    </row>
    <row r="973">
      <c r="A973" s="4"/>
      <c r="B973" s="4"/>
      <c r="C973" s="4"/>
      <c r="D973" s="4"/>
      <c r="E973" s="4"/>
      <c r="F973" s="4"/>
      <c r="G973" s="4"/>
      <c r="H973" s="6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86"/>
      <c r="V973" s="86"/>
      <c r="W973" s="86"/>
      <c r="X973" s="86"/>
      <c r="Y973" s="86"/>
      <c r="Z973" s="86"/>
    </row>
    <row r="974">
      <c r="A974" s="4"/>
      <c r="B974" s="4"/>
      <c r="C974" s="4"/>
      <c r="D974" s="4"/>
      <c r="E974" s="4"/>
      <c r="F974" s="4"/>
      <c r="G974" s="4"/>
      <c r="H974" s="6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86"/>
      <c r="V974" s="86"/>
      <c r="W974" s="86"/>
      <c r="X974" s="86"/>
      <c r="Y974" s="86"/>
      <c r="Z974" s="86"/>
    </row>
    <row r="975">
      <c r="A975" s="4"/>
      <c r="B975" s="4"/>
      <c r="C975" s="4"/>
      <c r="D975" s="4"/>
      <c r="E975" s="4"/>
      <c r="F975" s="4"/>
      <c r="G975" s="4"/>
      <c r="H975" s="6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86"/>
      <c r="V975" s="86"/>
      <c r="W975" s="86"/>
      <c r="X975" s="86"/>
      <c r="Y975" s="86"/>
      <c r="Z975" s="86"/>
    </row>
    <row r="976">
      <c r="A976" s="4"/>
      <c r="B976" s="4"/>
      <c r="C976" s="4"/>
      <c r="D976" s="4"/>
      <c r="E976" s="4"/>
      <c r="F976" s="4"/>
      <c r="G976" s="4"/>
      <c r="H976" s="6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86"/>
      <c r="V976" s="86"/>
      <c r="W976" s="86"/>
      <c r="X976" s="86"/>
      <c r="Y976" s="86"/>
      <c r="Z976" s="86"/>
    </row>
    <row r="977">
      <c r="A977" s="4"/>
      <c r="B977" s="4"/>
      <c r="C977" s="4"/>
      <c r="D977" s="4"/>
      <c r="E977" s="4"/>
      <c r="F977" s="4"/>
      <c r="G977" s="4"/>
      <c r="H977" s="6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86"/>
      <c r="V977" s="86"/>
      <c r="W977" s="86"/>
      <c r="X977" s="86"/>
      <c r="Y977" s="86"/>
      <c r="Z977" s="86"/>
    </row>
    <row r="978">
      <c r="A978" s="4"/>
      <c r="B978" s="4"/>
      <c r="C978" s="4"/>
      <c r="D978" s="4"/>
      <c r="E978" s="4"/>
      <c r="F978" s="4"/>
      <c r="G978" s="4"/>
      <c r="H978" s="6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86"/>
      <c r="V978" s="86"/>
      <c r="W978" s="86"/>
      <c r="X978" s="86"/>
      <c r="Y978" s="86"/>
      <c r="Z978" s="86"/>
    </row>
    <row r="979">
      <c r="A979" s="4"/>
      <c r="B979" s="4"/>
      <c r="C979" s="4"/>
      <c r="D979" s="4"/>
      <c r="E979" s="4"/>
      <c r="F979" s="4"/>
      <c r="G979" s="4"/>
      <c r="H979" s="6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86"/>
      <c r="V979" s="86"/>
      <c r="W979" s="86"/>
      <c r="X979" s="86"/>
      <c r="Y979" s="86"/>
      <c r="Z979" s="86"/>
    </row>
    <row r="980">
      <c r="A980" s="4"/>
      <c r="B980" s="4"/>
      <c r="C980" s="4"/>
      <c r="D980" s="4"/>
      <c r="E980" s="4"/>
      <c r="F980" s="4"/>
      <c r="G980" s="4"/>
      <c r="H980" s="6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86"/>
      <c r="V980" s="86"/>
      <c r="W980" s="86"/>
      <c r="X980" s="86"/>
      <c r="Y980" s="86"/>
      <c r="Z980" s="86"/>
    </row>
    <row r="981">
      <c r="A981" s="4"/>
      <c r="B981" s="4"/>
      <c r="C981" s="4"/>
      <c r="D981" s="4"/>
      <c r="E981" s="4"/>
      <c r="F981" s="4"/>
      <c r="G981" s="4"/>
      <c r="H981" s="6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86"/>
      <c r="V981" s="86"/>
      <c r="W981" s="86"/>
      <c r="X981" s="86"/>
      <c r="Y981" s="86"/>
      <c r="Z981" s="86"/>
    </row>
    <row r="982">
      <c r="A982" s="4"/>
      <c r="B982" s="4"/>
      <c r="C982" s="4"/>
      <c r="D982" s="4"/>
      <c r="E982" s="4"/>
      <c r="F982" s="4"/>
      <c r="G982" s="4"/>
      <c r="H982" s="6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86"/>
      <c r="V982" s="86"/>
      <c r="W982" s="86"/>
      <c r="X982" s="86"/>
      <c r="Y982" s="86"/>
      <c r="Z982" s="86"/>
    </row>
    <row r="983">
      <c r="A983" s="4"/>
      <c r="B983" s="4"/>
      <c r="C983" s="4"/>
      <c r="D983" s="4"/>
      <c r="E983" s="4"/>
      <c r="F983" s="4"/>
      <c r="G983" s="4"/>
      <c r="H983" s="6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86"/>
      <c r="V983" s="86"/>
      <c r="W983" s="86"/>
      <c r="X983" s="86"/>
      <c r="Y983" s="86"/>
      <c r="Z983" s="86"/>
    </row>
    <row r="984">
      <c r="A984" s="4"/>
      <c r="B984" s="4"/>
      <c r="C984" s="4"/>
      <c r="D984" s="4"/>
      <c r="E984" s="4"/>
      <c r="F984" s="4"/>
      <c r="G984" s="4"/>
      <c r="H984" s="6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86"/>
      <c r="V984" s="86"/>
      <c r="W984" s="86"/>
      <c r="X984" s="86"/>
      <c r="Y984" s="86"/>
      <c r="Z984" s="86"/>
    </row>
    <row r="985">
      <c r="A985" s="4"/>
      <c r="B985" s="4"/>
      <c r="C985" s="4"/>
      <c r="D985" s="4"/>
      <c r="E985" s="4"/>
      <c r="F985" s="4"/>
      <c r="G985" s="4"/>
      <c r="H985" s="6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86"/>
      <c r="V985" s="86"/>
      <c r="W985" s="86"/>
      <c r="X985" s="86"/>
      <c r="Y985" s="86"/>
      <c r="Z985" s="86"/>
    </row>
    <row r="986">
      <c r="A986" s="4"/>
      <c r="B986" s="4"/>
      <c r="C986" s="4"/>
      <c r="D986" s="4"/>
      <c r="E986" s="4"/>
      <c r="F986" s="4"/>
      <c r="G986" s="4"/>
      <c r="H986" s="6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86"/>
      <c r="V986" s="86"/>
      <c r="W986" s="86"/>
      <c r="X986" s="86"/>
      <c r="Y986" s="86"/>
      <c r="Z986" s="86"/>
    </row>
    <row r="987">
      <c r="A987" s="4"/>
      <c r="B987" s="4"/>
      <c r="C987" s="4"/>
      <c r="D987" s="4"/>
      <c r="E987" s="4"/>
      <c r="F987" s="4"/>
      <c r="G987" s="4"/>
      <c r="H987" s="6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86"/>
      <c r="V987" s="86"/>
      <c r="W987" s="86"/>
      <c r="X987" s="86"/>
      <c r="Y987" s="86"/>
      <c r="Z987" s="86"/>
    </row>
    <row r="988">
      <c r="A988" s="4"/>
      <c r="B988" s="4"/>
      <c r="C988" s="4"/>
      <c r="D988" s="4"/>
      <c r="E988" s="4"/>
      <c r="F988" s="4"/>
      <c r="G988" s="4"/>
      <c r="H988" s="6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86"/>
      <c r="V988" s="86"/>
      <c r="W988" s="86"/>
      <c r="X988" s="86"/>
      <c r="Y988" s="86"/>
      <c r="Z988" s="86"/>
    </row>
    <row r="989">
      <c r="A989" s="4"/>
      <c r="B989" s="4"/>
      <c r="C989" s="4"/>
      <c r="D989" s="4"/>
      <c r="E989" s="4"/>
      <c r="F989" s="4"/>
      <c r="G989" s="4"/>
      <c r="H989" s="6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86"/>
      <c r="V989" s="86"/>
      <c r="W989" s="86"/>
      <c r="X989" s="86"/>
      <c r="Y989" s="86"/>
      <c r="Z989" s="86"/>
    </row>
    <row r="990">
      <c r="A990" s="4"/>
      <c r="B990" s="4"/>
      <c r="C990" s="4"/>
      <c r="D990" s="4"/>
      <c r="E990" s="4"/>
      <c r="F990" s="4"/>
      <c r="G990" s="4"/>
      <c r="H990" s="6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86"/>
      <c r="V990" s="86"/>
      <c r="W990" s="86"/>
      <c r="X990" s="86"/>
      <c r="Y990" s="86"/>
      <c r="Z990" s="86"/>
    </row>
    <row r="991">
      <c r="A991" s="4"/>
      <c r="B991" s="4"/>
      <c r="C991" s="4"/>
      <c r="D991" s="4"/>
      <c r="E991" s="4"/>
      <c r="F991" s="4"/>
      <c r="G991" s="4"/>
      <c r="H991" s="6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86"/>
      <c r="V991" s="86"/>
      <c r="W991" s="86"/>
      <c r="X991" s="86"/>
      <c r="Y991" s="86"/>
      <c r="Z991" s="86"/>
    </row>
    <row r="992">
      <c r="A992" s="4"/>
      <c r="B992" s="4"/>
      <c r="C992" s="4"/>
      <c r="D992" s="4"/>
      <c r="E992" s="4"/>
      <c r="F992" s="4"/>
      <c r="G992" s="4"/>
      <c r="H992" s="6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86"/>
      <c r="V992" s="86"/>
      <c r="W992" s="86"/>
      <c r="X992" s="86"/>
      <c r="Y992" s="86"/>
      <c r="Z992" s="86"/>
    </row>
    <row r="993">
      <c r="A993" s="4"/>
      <c r="B993" s="4"/>
      <c r="C993" s="4"/>
      <c r="D993" s="4"/>
      <c r="E993" s="4"/>
      <c r="F993" s="4"/>
      <c r="G993" s="4"/>
      <c r="H993" s="68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86"/>
      <c r="V993" s="86"/>
      <c r="W993" s="86"/>
      <c r="X993" s="86"/>
      <c r="Y993" s="86"/>
      <c r="Z993" s="86"/>
    </row>
    <row r="994">
      <c r="A994" s="4"/>
      <c r="B994" s="4"/>
      <c r="C994" s="4"/>
      <c r="D994" s="4"/>
      <c r="E994" s="4"/>
      <c r="F994" s="4"/>
      <c r="G994" s="4"/>
      <c r="H994" s="68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86"/>
      <c r="V994" s="86"/>
      <c r="W994" s="86"/>
      <c r="X994" s="86"/>
      <c r="Y994" s="86"/>
      <c r="Z994" s="86"/>
    </row>
    <row r="995">
      <c r="A995" s="4"/>
      <c r="B995" s="4"/>
      <c r="C995" s="4"/>
      <c r="D995" s="4"/>
      <c r="E995" s="4"/>
      <c r="F995" s="4"/>
      <c r="G995" s="4"/>
      <c r="H995" s="87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86"/>
      <c r="V995" s="86"/>
      <c r="W995" s="86"/>
      <c r="X995" s="86"/>
      <c r="Y995" s="86"/>
      <c r="Z995" s="86"/>
    </row>
    <row r="996">
      <c r="A996" s="4"/>
      <c r="B996" s="4"/>
      <c r="C996" s="4"/>
      <c r="D996" s="4"/>
      <c r="E996" s="4"/>
      <c r="F996" s="4"/>
      <c r="G996" s="4"/>
      <c r="H996" s="87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86"/>
      <c r="V996" s="86"/>
      <c r="W996" s="86"/>
      <c r="X996" s="86"/>
      <c r="Y996" s="86"/>
      <c r="Z996" s="86"/>
    </row>
    <row r="997">
      <c r="A997" s="4"/>
      <c r="B997" s="4"/>
      <c r="C997" s="4"/>
      <c r="D997" s="4"/>
      <c r="E997" s="4"/>
      <c r="F997" s="4"/>
      <c r="G997" s="4"/>
      <c r="H997" s="87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86"/>
      <c r="V997" s="86"/>
      <c r="W997" s="86"/>
      <c r="X997" s="86"/>
      <c r="Y997" s="86"/>
      <c r="Z997" s="86"/>
    </row>
    <row r="998">
      <c r="A998" s="4"/>
      <c r="B998" s="4"/>
      <c r="C998" s="4"/>
      <c r="D998" s="4"/>
      <c r="E998" s="4"/>
      <c r="F998" s="4"/>
      <c r="G998" s="4"/>
      <c r="H998" s="87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86"/>
      <c r="V998" s="86"/>
      <c r="W998" s="86"/>
      <c r="X998" s="86"/>
      <c r="Y998" s="86"/>
      <c r="Z998" s="86"/>
    </row>
    <row r="999">
      <c r="A999" s="4"/>
      <c r="B999" s="4"/>
      <c r="C999" s="4"/>
      <c r="D999" s="4"/>
      <c r="E999" s="4"/>
      <c r="F999" s="4"/>
      <c r="G999" s="4"/>
      <c r="H999" s="87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86"/>
      <c r="V999" s="86"/>
      <c r="W999" s="86"/>
      <c r="X999" s="86"/>
      <c r="Y999" s="86"/>
      <c r="Z999" s="86"/>
    </row>
    <row r="1000">
      <c r="A1000" s="4"/>
      <c r="B1000" s="4"/>
      <c r="C1000" s="4"/>
      <c r="D1000" s="4"/>
      <c r="E1000" s="4"/>
      <c r="F1000" s="4"/>
      <c r="G1000" s="4"/>
      <c r="H1000" s="87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86"/>
      <c r="V1000" s="86"/>
      <c r="W1000" s="86"/>
      <c r="X1000" s="86"/>
      <c r="Y1000" s="86"/>
      <c r="Z1000" s="86"/>
    </row>
    <row r="1001">
      <c r="A1001" s="4"/>
      <c r="B1001" s="4"/>
      <c r="C1001" s="4"/>
      <c r="D1001" s="4"/>
      <c r="E1001" s="4"/>
      <c r="F1001" s="4"/>
      <c r="G1001" s="4"/>
      <c r="H1001" s="87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86"/>
      <c r="V1001" s="86"/>
      <c r="W1001" s="86"/>
      <c r="X1001" s="86"/>
      <c r="Y1001" s="86"/>
      <c r="Z1001" s="86"/>
    </row>
    <row r="1002">
      <c r="A1002" s="4"/>
      <c r="B1002" s="4"/>
      <c r="C1002" s="4"/>
      <c r="D1002" s="4"/>
      <c r="E1002" s="4"/>
      <c r="F1002" s="4"/>
      <c r="G1002" s="4"/>
      <c r="H1002" s="87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86"/>
      <c r="V1002" s="86"/>
      <c r="W1002" s="86"/>
      <c r="X1002" s="86"/>
      <c r="Y1002" s="86"/>
      <c r="Z1002" s="86"/>
    </row>
    <row r="1003">
      <c r="A1003" s="4"/>
      <c r="B1003" s="4"/>
      <c r="C1003" s="4"/>
      <c r="D1003" s="4"/>
      <c r="E1003" s="4"/>
      <c r="F1003" s="4"/>
      <c r="G1003" s="4"/>
      <c r="H1003" s="87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86"/>
      <c r="V1003" s="86"/>
      <c r="W1003" s="86"/>
      <c r="X1003" s="86"/>
      <c r="Y1003" s="86"/>
      <c r="Z1003" s="86"/>
    </row>
    <row r="1004">
      <c r="A1004" s="4"/>
      <c r="B1004" s="4"/>
      <c r="C1004" s="4"/>
      <c r="D1004" s="4"/>
      <c r="E1004" s="4"/>
      <c r="F1004" s="4"/>
      <c r="G1004" s="4"/>
      <c r="H1004" s="87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86"/>
      <c r="V1004" s="86"/>
      <c r="W1004" s="86"/>
      <c r="X1004" s="86"/>
      <c r="Y1004" s="86"/>
      <c r="Z1004" s="86"/>
    </row>
    <row r="1005">
      <c r="A1005" s="4"/>
      <c r="B1005" s="4"/>
      <c r="C1005" s="4"/>
      <c r="D1005" s="4"/>
      <c r="E1005" s="4"/>
      <c r="F1005" s="4"/>
      <c r="G1005" s="4"/>
      <c r="H1005" s="87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86"/>
      <c r="V1005" s="86"/>
      <c r="W1005" s="86"/>
      <c r="X1005" s="86"/>
      <c r="Y1005" s="86"/>
      <c r="Z1005" s="86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61" t="s">
        <v>25</v>
      </c>
      <c r="C1" s="62" t="s">
        <v>26</v>
      </c>
      <c r="D1" s="63" t="s">
        <v>20</v>
      </c>
      <c r="E1" s="64" t="s">
        <v>21</v>
      </c>
      <c r="F1" s="65" t="s">
        <v>22</v>
      </c>
      <c r="G1" s="66" t="s">
        <v>23</v>
      </c>
      <c r="H1" s="67" t="s">
        <v>24</v>
      </c>
      <c r="I1" s="6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1" t="s">
        <v>27</v>
      </c>
      <c r="B2" s="69">
        <f>SUM(G7:G962)</f>
        <v>5396.767</v>
      </c>
      <c r="C2" s="70">
        <f>SUMIF(F8:F960,"MÉDIA MULTI-ANNONCEURS",G8:G960)</f>
        <v>0</v>
      </c>
      <c r="D2" s="71">
        <f>SUMIF(F8:F960,"PROMOTIONNEL",G8:G960)</f>
        <v>5396.767</v>
      </c>
      <c r="E2" s="72">
        <f>SUMIF(F8:F960,"DIST. PUBLICITAIRE SOLO",G8:G960)</f>
        <v>0</v>
      </c>
      <c r="F2" s="73">
        <f>SUMIF(F8:F960,"AGENCE PUB",G8:G960)</f>
        <v>0</v>
      </c>
      <c r="G2" s="74">
        <f>SUMIF(F8:F960,"AGENCE WEB",G8:G960)</f>
        <v>0</v>
      </c>
      <c r="H2" s="75">
        <f>SUMIF(F8:F960,"SERVICES IA",G8:G960)</f>
        <v>0</v>
      </c>
      <c r="I2" s="6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6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1" t="s">
        <v>28</v>
      </c>
      <c r="B4" s="69">
        <f>SUM(B8:B962)</f>
        <v>53967.67</v>
      </c>
      <c r="C4" s="70">
        <f>SUMIF(F8:F960,"MÉDIA MULTI-ANNONCEURS",B8:B960)</f>
        <v>0</v>
      </c>
      <c r="D4" s="71">
        <f>SUMIF(F8:F960,"PROMOTIONNEL",B8:B960)</f>
        <v>53967.67</v>
      </c>
      <c r="E4" s="72">
        <f>SUMIF(F8:F960,"DIST. PUBLICITAIRE SOLO",B8:B960)</f>
        <v>0</v>
      </c>
      <c r="F4" s="73">
        <f>SUMIF(F8:F960,"AGENCE PUB",B8:B960)</f>
        <v>0</v>
      </c>
      <c r="G4" s="74">
        <f>SUMIF(F8:F960,"AGENCE WEB",B8:B960)</f>
        <v>0</v>
      </c>
      <c r="H4" s="75">
        <f>SUMIF(F8:F960,"SERVICES IA",B8:B960)</f>
        <v>0</v>
      </c>
      <c r="I4" s="6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6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68"/>
      <c r="C6" s="68"/>
      <c r="D6" s="68"/>
      <c r="E6" s="68"/>
      <c r="F6" s="68"/>
      <c r="G6" s="68"/>
      <c r="H6" s="4"/>
      <c r="I6" s="6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1" t="s">
        <v>29</v>
      </c>
      <c r="B7" s="88" t="s">
        <v>125</v>
      </c>
      <c r="C7" s="77" t="s">
        <v>31</v>
      </c>
      <c r="D7" s="77" t="s">
        <v>32</v>
      </c>
      <c r="E7" s="76" t="s">
        <v>33</v>
      </c>
      <c r="F7" s="78" t="s">
        <v>34</v>
      </c>
      <c r="G7" s="78" t="s">
        <v>35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9" t="s">
        <v>114</v>
      </c>
      <c r="B8" s="80">
        <v>270.0</v>
      </c>
      <c r="C8" s="81" t="s">
        <v>126</v>
      </c>
      <c r="D8" s="82">
        <v>46084.0</v>
      </c>
      <c r="E8" s="83" t="s">
        <v>38</v>
      </c>
      <c r="F8" s="79" t="s">
        <v>20</v>
      </c>
      <c r="G8" s="68">
        <f t="shared" ref="G8:G166" si="1">B8*0.1</f>
        <v>27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79" t="s">
        <v>64</v>
      </c>
      <c r="B9" s="80">
        <v>147.96</v>
      </c>
      <c r="C9" s="81" t="s">
        <v>127</v>
      </c>
      <c r="D9" s="82">
        <v>46084.0</v>
      </c>
      <c r="E9" s="83" t="s">
        <v>38</v>
      </c>
      <c r="F9" s="79" t="s">
        <v>20</v>
      </c>
      <c r="G9" s="68">
        <f t="shared" si="1"/>
        <v>14.796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79" t="s">
        <v>128</v>
      </c>
      <c r="B10" s="80">
        <v>1080.0</v>
      </c>
      <c r="C10" s="81" t="s">
        <v>129</v>
      </c>
      <c r="D10" s="82">
        <v>46084.0</v>
      </c>
      <c r="E10" s="83" t="s">
        <v>38</v>
      </c>
      <c r="F10" s="79" t="s">
        <v>20</v>
      </c>
      <c r="G10" s="68">
        <f t="shared" si="1"/>
        <v>108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79" t="s">
        <v>83</v>
      </c>
      <c r="B11" s="80">
        <v>30.0</v>
      </c>
      <c r="C11" s="81" t="s">
        <v>130</v>
      </c>
      <c r="D11" s="82">
        <v>46086.0</v>
      </c>
      <c r="E11" s="83" t="s">
        <v>38</v>
      </c>
      <c r="F11" s="79" t="s">
        <v>20</v>
      </c>
      <c r="G11" s="68">
        <f t="shared" si="1"/>
        <v>3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79" t="s">
        <v>131</v>
      </c>
      <c r="B12" s="80">
        <v>444.71</v>
      </c>
      <c r="C12" s="81" t="s">
        <v>132</v>
      </c>
      <c r="D12" s="82">
        <v>46087.0</v>
      </c>
      <c r="E12" s="83" t="s">
        <v>38</v>
      </c>
      <c r="F12" s="79" t="s">
        <v>20</v>
      </c>
      <c r="G12" s="68">
        <f t="shared" si="1"/>
        <v>44.471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79" t="s">
        <v>133</v>
      </c>
      <c r="B13" s="80">
        <v>1055.0</v>
      </c>
      <c r="C13" s="81" t="s">
        <v>134</v>
      </c>
      <c r="D13" s="82">
        <v>46090.0</v>
      </c>
      <c r="E13" s="83" t="s">
        <v>38</v>
      </c>
      <c r="F13" s="79" t="s">
        <v>20</v>
      </c>
      <c r="G13" s="68">
        <f t="shared" si="1"/>
        <v>105.5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79" t="s">
        <v>135</v>
      </c>
      <c r="B14" s="80">
        <v>1491.84</v>
      </c>
      <c r="C14" s="81" t="s">
        <v>136</v>
      </c>
      <c r="D14" s="82">
        <v>46090.0</v>
      </c>
      <c r="E14" s="83" t="s">
        <v>38</v>
      </c>
      <c r="F14" s="79" t="s">
        <v>20</v>
      </c>
      <c r="G14" s="68">
        <f t="shared" si="1"/>
        <v>149.184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79" t="s">
        <v>72</v>
      </c>
      <c r="B15" s="80">
        <v>290.0</v>
      </c>
      <c r="C15" s="81" t="s">
        <v>137</v>
      </c>
      <c r="D15" s="82">
        <v>46091.0</v>
      </c>
      <c r="E15" s="83" t="s">
        <v>38</v>
      </c>
      <c r="F15" s="79" t="s">
        <v>20</v>
      </c>
      <c r="G15" s="68">
        <f t="shared" si="1"/>
        <v>29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79" t="s">
        <v>138</v>
      </c>
      <c r="B16" s="80">
        <v>4050.0</v>
      </c>
      <c r="C16" s="81" t="s">
        <v>139</v>
      </c>
      <c r="D16" s="82">
        <v>46091.0</v>
      </c>
      <c r="E16" s="83" t="s">
        <v>38</v>
      </c>
      <c r="F16" s="79" t="s">
        <v>20</v>
      </c>
      <c r="G16" s="68">
        <f t="shared" si="1"/>
        <v>405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79" t="s">
        <v>140</v>
      </c>
      <c r="B17" s="80">
        <v>765.0</v>
      </c>
      <c r="C17" s="81" t="s">
        <v>141</v>
      </c>
      <c r="D17" s="82">
        <v>46092.0</v>
      </c>
      <c r="E17" s="83" t="s">
        <v>38</v>
      </c>
      <c r="F17" s="79" t="s">
        <v>20</v>
      </c>
      <c r="G17" s="68">
        <f t="shared" si="1"/>
        <v>76.5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79" t="s">
        <v>142</v>
      </c>
      <c r="B18" s="80">
        <v>90.36</v>
      </c>
      <c r="C18" s="81" t="s">
        <v>143</v>
      </c>
      <c r="D18" s="82">
        <v>46093.0</v>
      </c>
      <c r="E18" s="83" t="s">
        <v>38</v>
      </c>
      <c r="F18" s="79" t="s">
        <v>20</v>
      </c>
      <c r="G18" s="68">
        <f t="shared" si="1"/>
        <v>9.036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79" t="s">
        <v>142</v>
      </c>
      <c r="B19" s="80">
        <v>45.18</v>
      </c>
      <c r="C19" s="81" t="s">
        <v>144</v>
      </c>
      <c r="D19" s="82">
        <v>46093.0</v>
      </c>
      <c r="E19" s="83" t="s">
        <v>38</v>
      </c>
      <c r="F19" s="79" t="s">
        <v>20</v>
      </c>
      <c r="G19" s="68">
        <f t="shared" si="1"/>
        <v>4.518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79" t="s">
        <v>145</v>
      </c>
      <c r="B20" s="80">
        <v>540.0</v>
      </c>
      <c r="C20" s="81" t="s">
        <v>146</v>
      </c>
      <c r="D20" s="82">
        <v>46093.0</v>
      </c>
      <c r="E20" s="83" t="s">
        <v>38</v>
      </c>
      <c r="F20" s="79" t="s">
        <v>20</v>
      </c>
      <c r="G20" s="68">
        <f t="shared" si="1"/>
        <v>54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79" t="s">
        <v>147</v>
      </c>
      <c r="B21" s="80">
        <v>468.75</v>
      </c>
      <c r="C21" s="81" t="s">
        <v>148</v>
      </c>
      <c r="D21" s="82">
        <v>46094.0</v>
      </c>
      <c r="E21" s="83" t="s">
        <v>38</v>
      </c>
      <c r="F21" s="79" t="s">
        <v>20</v>
      </c>
      <c r="G21" s="68">
        <f t="shared" si="1"/>
        <v>46.875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79" t="s">
        <v>122</v>
      </c>
      <c r="B22" s="80">
        <v>736.75</v>
      </c>
      <c r="C22" s="81" t="s">
        <v>149</v>
      </c>
      <c r="D22" s="82">
        <v>46094.0</v>
      </c>
      <c r="E22" s="83" t="s">
        <v>38</v>
      </c>
      <c r="F22" s="79" t="s">
        <v>20</v>
      </c>
      <c r="G22" s="68">
        <f t="shared" si="1"/>
        <v>73.675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79" t="s">
        <v>138</v>
      </c>
      <c r="B23" s="80">
        <v>195.0</v>
      </c>
      <c r="C23" s="81" t="s">
        <v>150</v>
      </c>
      <c r="D23" s="82">
        <v>46094.0</v>
      </c>
      <c r="E23" s="83" t="s">
        <v>38</v>
      </c>
      <c r="F23" s="79" t="s">
        <v>20</v>
      </c>
      <c r="G23" s="68">
        <f t="shared" si="1"/>
        <v>19.5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79" t="s">
        <v>151</v>
      </c>
      <c r="B24" s="80">
        <v>865.89</v>
      </c>
      <c r="C24" s="81" t="s">
        <v>152</v>
      </c>
      <c r="D24" s="82">
        <v>46097.0</v>
      </c>
      <c r="E24" s="83" t="s">
        <v>38</v>
      </c>
      <c r="F24" s="79" t="s">
        <v>20</v>
      </c>
      <c r="G24" s="68">
        <f t="shared" si="1"/>
        <v>86.589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79" t="s">
        <v>153</v>
      </c>
      <c r="B25" s="80">
        <v>1798.57</v>
      </c>
      <c r="C25" s="81" t="s">
        <v>154</v>
      </c>
      <c r="D25" s="82">
        <v>46097.0</v>
      </c>
      <c r="E25" s="83" t="s">
        <v>38</v>
      </c>
      <c r="F25" s="79" t="s">
        <v>20</v>
      </c>
      <c r="G25" s="68">
        <f t="shared" si="1"/>
        <v>179.857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79" t="s">
        <v>155</v>
      </c>
      <c r="B26" s="80">
        <v>65.0</v>
      </c>
      <c r="C26" s="81" t="s">
        <v>156</v>
      </c>
      <c r="D26" s="82">
        <v>46098.0</v>
      </c>
      <c r="E26" s="83" t="s">
        <v>38</v>
      </c>
      <c r="F26" s="79" t="s">
        <v>20</v>
      </c>
      <c r="G26" s="68">
        <f t="shared" si="1"/>
        <v>6.5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79" t="s">
        <v>157</v>
      </c>
      <c r="B27" s="80">
        <v>810.0</v>
      </c>
      <c r="C27" s="81" t="s">
        <v>158</v>
      </c>
      <c r="D27" s="82">
        <v>46098.0</v>
      </c>
      <c r="E27" s="83" t="s">
        <v>38</v>
      </c>
      <c r="F27" s="79" t="s">
        <v>20</v>
      </c>
      <c r="G27" s="68">
        <f t="shared" si="1"/>
        <v>81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79" t="s">
        <v>155</v>
      </c>
      <c r="B28" s="80">
        <v>1370.0</v>
      </c>
      <c r="C28" s="81" t="s">
        <v>159</v>
      </c>
      <c r="D28" s="82">
        <v>46098.0</v>
      </c>
      <c r="E28" s="83" t="s">
        <v>38</v>
      </c>
      <c r="F28" s="79" t="s">
        <v>20</v>
      </c>
      <c r="G28" s="68">
        <f t="shared" si="1"/>
        <v>137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79" t="s">
        <v>64</v>
      </c>
      <c r="B29" s="80"/>
      <c r="C29" s="81" t="s">
        <v>160</v>
      </c>
      <c r="D29" s="82">
        <v>46099.0</v>
      </c>
      <c r="E29" s="83" t="s">
        <v>38</v>
      </c>
      <c r="F29" s="79" t="s">
        <v>20</v>
      </c>
      <c r="G29" s="68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79" t="s">
        <v>64</v>
      </c>
      <c r="B30" s="80"/>
      <c r="C30" s="81" t="s">
        <v>161</v>
      </c>
      <c r="D30" s="82">
        <v>46099.0</v>
      </c>
      <c r="E30" s="83" t="s">
        <v>38</v>
      </c>
      <c r="F30" s="79" t="s">
        <v>20</v>
      </c>
      <c r="G30" s="68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79" t="s">
        <v>162</v>
      </c>
      <c r="B31" s="80">
        <v>2460.0</v>
      </c>
      <c r="C31" s="81" t="s">
        <v>163</v>
      </c>
      <c r="D31" s="82">
        <v>46101.0</v>
      </c>
      <c r="E31" s="83" t="s">
        <v>38</v>
      </c>
      <c r="F31" s="79" t="s">
        <v>20</v>
      </c>
      <c r="G31" s="68">
        <f t="shared" si="1"/>
        <v>246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79" t="s">
        <v>164</v>
      </c>
      <c r="B32" s="80">
        <v>15774.5</v>
      </c>
      <c r="C32" s="81" t="s">
        <v>165</v>
      </c>
      <c r="D32" s="82">
        <v>46101.0</v>
      </c>
      <c r="E32" s="83" t="s">
        <v>38</v>
      </c>
      <c r="F32" s="79" t="s">
        <v>20</v>
      </c>
      <c r="G32" s="68">
        <f t="shared" si="1"/>
        <v>1577.45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79" t="s">
        <v>166</v>
      </c>
      <c r="B33" s="80">
        <v>4254.02</v>
      </c>
      <c r="C33" s="81" t="s">
        <v>167</v>
      </c>
      <c r="D33" s="82">
        <v>46104.0</v>
      </c>
      <c r="E33" s="83" t="s">
        <v>38</v>
      </c>
      <c r="F33" s="79" t="s">
        <v>20</v>
      </c>
      <c r="G33" s="68">
        <f t="shared" si="1"/>
        <v>425.402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79" t="s">
        <v>168</v>
      </c>
      <c r="B34" s="80">
        <v>5731.64</v>
      </c>
      <c r="C34" s="81" t="s">
        <v>169</v>
      </c>
      <c r="D34" s="82">
        <v>46104.0</v>
      </c>
      <c r="E34" s="83" t="s">
        <v>38</v>
      </c>
      <c r="F34" s="79" t="s">
        <v>20</v>
      </c>
      <c r="G34" s="68">
        <f t="shared" si="1"/>
        <v>573.164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79" t="s">
        <v>64</v>
      </c>
      <c r="B35" s="80">
        <v>32.59</v>
      </c>
      <c r="C35" s="81" t="s">
        <v>170</v>
      </c>
      <c r="D35" s="82">
        <v>46104.0</v>
      </c>
      <c r="E35" s="83" t="s">
        <v>38</v>
      </c>
      <c r="F35" s="79" t="s">
        <v>20</v>
      </c>
      <c r="G35" s="68">
        <f t="shared" si="1"/>
        <v>3.259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79" t="s">
        <v>138</v>
      </c>
      <c r="B36" s="80">
        <v>100.0</v>
      </c>
      <c r="C36" s="81" t="s">
        <v>171</v>
      </c>
      <c r="D36" s="82">
        <v>46106.0</v>
      </c>
      <c r="E36" s="83" t="s">
        <v>38</v>
      </c>
      <c r="F36" s="79" t="s">
        <v>20</v>
      </c>
      <c r="G36" s="68">
        <f t="shared" si="1"/>
        <v>10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79" t="s">
        <v>83</v>
      </c>
      <c r="B37" s="80">
        <v>1959.5</v>
      </c>
      <c r="C37" s="81" t="s">
        <v>172</v>
      </c>
      <c r="D37" s="82">
        <v>46106.0</v>
      </c>
      <c r="E37" s="83" t="s">
        <v>38</v>
      </c>
      <c r="F37" s="79" t="s">
        <v>20</v>
      </c>
      <c r="G37" s="68">
        <f t="shared" si="1"/>
        <v>195.95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79" t="s">
        <v>173</v>
      </c>
      <c r="B38" s="80">
        <v>499.0</v>
      </c>
      <c r="C38" s="81" t="s">
        <v>174</v>
      </c>
      <c r="D38" s="82">
        <v>46107.0</v>
      </c>
      <c r="E38" s="83" t="s">
        <v>38</v>
      </c>
      <c r="F38" s="79" t="s">
        <v>20</v>
      </c>
      <c r="G38" s="68">
        <f t="shared" si="1"/>
        <v>49.9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79" t="s">
        <v>83</v>
      </c>
      <c r="B39" s="80">
        <v>777.5</v>
      </c>
      <c r="C39" s="81" t="s">
        <v>175</v>
      </c>
      <c r="D39" s="82">
        <v>46107.0</v>
      </c>
      <c r="E39" s="83" t="s">
        <v>38</v>
      </c>
      <c r="F39" s="79" t="s">
        <v>20</v>
      </c>
      <c r="G39" s="68">
        <f t="shared" si="1"/>
        <v>77.75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79" t="s">
        <v>67</v>
      </c>
      <c r="B40" s="80">
        <v>340.0</v>
      </c>
      <c r="C40" s="81" t="s">
        <v>176</v>
      </c>
      <c r="D40" s="82">
        <v>46111.0</v>
      </c>
      <c r="E40" s="83" t="s">
        <v>38</v>
      </c>
      <c r="F40" s="79" t="s">
        <v>20</v>
      </c>
      <c r="G40" s="68">
        <f t="shared" si="1"/>
        <v>34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79" t="s">
        <v>177</v>
      </c>
      <c r="B41" s="80">
        <v>4699.99</v>
      </c>
      <c r="C41" s="81" t="s">
        <v>178</v>
      </c>
      <c r="D41" s="82">
        <v>46111.0</v>
      </c>
      <c r="E41" s="83" t="s">
        <v>38</v>
      </c>
      <c r="F41" s="79" t="s">
        <v>20</v>
      </c>
      <c r="G41" s="68">
        <f t="shared" si="1"/>
        <v>469.999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79" t="s">
        <v>179</v>
      </c>
      <c r="B42" s="80">
        <v>782.95</v>
      </c>
      <c r="C42" s="81" t="s">
        <v>180</v>
      </c>
      <c r="D42" s="82">
        <v>46111.0</v>
      </c>
      <c r="E42" s="83" t="s">
        <v>38</v>
      </c>
      <c r="F42" s="79" t="s">
        <v>20</v>
      </c>
      <c r="G42" s="68">
        <f t="shared" si="1"/>
        <v>78.295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79" t="s">
        <v>119</v>
      </c>
      <c r="B43" s="80">
        <v>-54.03</v>
      </c>
      <c r="C43" s="81" t="s">
        <v>181</v>
      </c>
      <c r="D43" s="82">
        <v>46111.0</v>
      </c>
      <c r="E43" s="83" t="s">
        <v>38</v>
      </c>
      <c r="F43" s="79" t="s">
        <v>20</v>
      </c>
      <c r="G43" s="68">
        <f t="shared" si="1"/>
        <v>-5.403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85"/>
      <c r="F44" s="4"/>
      <c r="G44" s="68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85"/>
      <c r="F45" s="4"/>
      <c r="G45" s="68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85"/>
      <c r="F46" s="4"/>
      <c r="G46" s="68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85"/>
      <c r="F47" s="4"/>
      <c r="G47" s="68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85"/>
      <c r="F48" s="4"/>
      <c r="G48" s="68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85"/>
      <c r="F49" s="4"/>
      <c r="G49" s="68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85"/>
      <c r="F50" s="4"/>
      <c r="G50" s="68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85"/>
      <c r="F51" s="4"/>
      <c r="G51" s="68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85"/>
      <c r="F52" s="4"/>
      <c r="G52" s="68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85"/>
      <c r="F53" s="4"/>
      <c r="G53" s="68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85"/>
      <c r="F54" s="4"/>
      <c r="G54" s="68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85"/>
      <c r="F55" s="4"/>
      <c r="G55" s="68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85"/>
      <c r="F56" s="4"/>
      <c r="G56" s="68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85"/>
      <c r="F57" s="4"/>
      <c r="G57" s="68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85"/>
      <c r="F58" s="4"/>
      <c r="G58" s="68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85"/>
      <c r="F59" s="4"/>
      <c r="G59" s="68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85"/>
      <c r="F60" s="4"/>
      <c r="G60" s="68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85"/>
      <c r="F61" s="4"/>
      <c r="G61" s="68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85"/>
      <c r="F62" s="4"/>
      <c r="G62" s="68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85"/>
      <c r="F63" s="4"/>
      <c r="G63" s="68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85"/>
      <c r="F64" s="4"/>
      <c r="G64" s="68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85"/>
      <c r="F65" s="4"/>
      <c r="G65" s="68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85"/>
      <c r="F66" s="4"/>
      <c r="G66" s="68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85"/>
      <c r="F67" s="4"/>
      <c r="G67" s="68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85"/>
      <c r="F68" s="4"/>
      <c r="G68" s="68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85"/>
      <c r="F69" s="4"/>
      <c r="G69" s="68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85"/>
      <c r="F70" s="4"/>
      <c r="G70" s="68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85"/>
      <c r="F71" s="4"/>
      <c r="G71" s="68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85"/>
      <c r="F72" s="4"/>
      <c r="G72" s="68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85"/>
      <c r="F73" s="4"/>
      <c r="G73" s="68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85"/>
      <c r="F74" s="4"/>
      <c r="G74" s="68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85"/>
      <c r="F75" s="4"/>
      <c r="G75" s="68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85"/>
      <c r="F76" s="4"/>
      <c r="G76" s="68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85"/>
      <c r="F77" s="4"/>
      <c r="G77" s="68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85"/>
      <c r="F78" s="4"/>
      <c r="G78" s="68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85"/>
      <c r="F79" s="4"/>
      <c r="G79" s="68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85"/>
      <c r="F80" s="4"/>
      <c r="G80" s="68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85"/>
      <c r="F81" s="4"/>
      <c r="G81" s="68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85"/>
      <c r="F82" s="4"/>
      <c r="G82" s="68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85"/>
      <c r="F83" s="4"/>
      <c r="G83" s="68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85"/>
      <c r="F84" s="4"/>
      <c r="G84" s="68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85"/>
      <c r="F85" s="4"/>
      <c r="G85" s="68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85"/>
      <c r="F86" s="4"/>
      <c r="G86" s="68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85"/>
      <c r="F87" s="4"/>
      <c r="G87" s="68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85"/>
      <c r="F88" s="4"/>
      <c r="G88" s="68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85"/>
      <c r="F89" s="4"/>
      <c r="G89" s="68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85"/>
      <c r="F90" s="4"/>
      <c r="G90" s="68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85"/>
      <c r="F91" s="4"/>
      <c r="G91" s="68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85"/>
      <c r="F92" s="4"/>
      <c r="G92" s="68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85"/>
      <c r="F93" s="4"/>
      <c r="G93" s="68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85"/>
      <c r="F94" s="4"/>
      <c r="G94" s="68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85"/>
      <c r="F95" s="4"/>
      <c r="G95" s="68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85"/>
      <c r="F96" s="4"/>
      <c r="G96" s="68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85"/>
      <c r="F97" s="4"/>
      <c r="G97" s="68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85"/>
      <c r="F98" s="4"/>
      <c r="G98" s="68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85"/>
      <c r="F99" s="4"/>
      <c r="G99" s="68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85"/>
      <c r="F100" s="4"/>
      <c r="G100" s="68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85"/>
      <c r="F101" s="4"/>
      <c r="G101" s="68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85"/>
      <c r="F102" s="4"/>
      <c r="G102" s="68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85"/>
      <c r="F103" s="4"/>
      <c r="G103" s="68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85"/>
      <c r="F104" s="4"/>
      <c r="G104" s="68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85"/>
      <c r="F105" s="4"/>
      <c r="G105" s="68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85"/>
      <c r="F106" s="4"/>
      <c r="G106" s="68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85"/>
      <c r="F107" s="4"/>
      <c r="G107" s="68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85"/>
      <c r="F108" s="4"/>
      <c r="G108" s="68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85"/>
      <c r="F109" s="4"/>
      <c r="G109" s="68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85"/>
      <c r="F110" s="4"/>
      <c r="G110" s="68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85"/>
      <c r="F111" s="4"/>
      <c r="G111" s="68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85"/>
      <c r="F112" s="4"/>
      <c r="G112" s="68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85"/>
      <c r="F113" s="4"/>
      <c r="G113" s="68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85"/>
      <c r="F114" s="4"/>
      <c r="G114" s="68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85"/>
      <c r="F115" s="4"/>
      <c r="G115" s="68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85"/>
      <c r="F116" s="4"/>
      <c r="G116" s="68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85"/>
      <c r="F117" s="4"/>
      <c r="G117" s="68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85"/>
      <c r="F118" s="4"/>
      <c r="G118" s="68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85"/>
      <c r="F119" s="4"/>
      <c r="G119" s="68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85"/>
      <c r="F120" s="4"/>
      <c r="G120" s="68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85"/>
      <c r="F121" s="4"/>
      <c r="G121" s="68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85"/>
      <c r="F122" s="4"/>
      <c r="G122" s="68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85"/>
      <c r="F123" s="4"/>
      <c r="G123" s="68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85"/>
      <c r="F124" s="4"/>
      <c r="G124" s="68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85"/>
      <c r="F125" s="4"/>
      <c r="G125" s="68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85"/>
      <c r="F126" s="4"/>
      <c r="G126" s="68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85"/>
      <c r="F127" s="4"/>
      <c r="G127" s="68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85"/>
      <c r="F128" s="4"/>
      <c r="G128" s="68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85"/>
      <c r="F129" s="4"/>
      <c r="G129" s="68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85"/>
      <c r="F130" s="4"/>
      <c r="G130" s="68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85"/>
      <c r="F131" s="4"/>
      <c r="G131" s="68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85"/>
      <c r="F132" s="4"/>
      <c r="G132" s="68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85"/>
      <c r="F133" s="4"/>
      <c r="G133" s="68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85"/>
      <c r="F134" s="4"/>
      <c r="G134" s="68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85"/>
      <c r="F135" s="4"/>
      <c r="G135" s="68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85"/>
      <c r="F136" s="4"/>
      <c r="G136" s="68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85"/>
      <c r="F137" s="4"/>
      <c r="G137" s="68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85"/>
      <c r="F138" s="4"/>
      <c r="G138" s="68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85"/>
      <c r="F139" s="4"/>
      <c r="G139" s="68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85"/>
      <c r="F140" s="4"/>
      <c r="G140" s="68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85"/>
      <c r="F141" s="4"/>
      <c r="G141" s="68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85"/>
      <c r="F142" s="4"/>
      <c r="G142" s="68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85"/>
      <c r="F143" s="4"/>
      <c r="G143" s="68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85"/>
      <c r="F144" s="4"/>
      <c r="G144" s="68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68"/>
      <c r="G145" s="68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68"/>
      <c r="G146" s="68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68"/>
      <c r="G147" s="68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68"/>
      <c r="G148" s="68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68"/>
      <c r="G149" s="68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68"/>
      <c r="G150" s="68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68"/>
      <c r="G151" s="68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68"/>
      <c r="G152" s="68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68"/>
      <c r="G153" s="68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68"/>
      <c r="G154" s="68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68"/>
      <c r="G155" s="68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68"/>
      <c r="G156" s="68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68"/>
      <c r="G157" s="68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68"/>
      <c r="G158" s="68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68"/>
      <c r="G159" s="68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68"/>
      <c r="G160" s="68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68"/>
      <c r="G161" s="68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68"/>
      <c r="G162" s="68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68"/>
      <c r="G163" s="68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68"/>
      <c r="G164" s="68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68"/>
      <c r="G165" s="68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68"/>
      <c r="G166" s="68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68"/>
      <c r="G167" s="68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68"/>
      <c r="G168" s="68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68"/>
      <c r="G169" s="68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68"/>
      <c r="G170" s="68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68"/>
      <c r="G171" s="68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68"/>
      <c r="G172" s="68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68"/>
      <c r="G173" s="68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68"/>
      <c r="G174" s="68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68"/>
      <c r="G175" s="68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68"/>
      <c r="G176" s="68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68"/>
      <c r="G177" s="68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68"/>
      <c r="G178" s="68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68"/>
      <c r="G179" s="68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68"/>
      <c r="G180" s="68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68"/>
      <c r="G181" s="68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68"/>
      <c r="G182" s="68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68"/>
      <c r="G183" s="68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68"/>
      <c r="G184" s="68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68"/>
      <c r="G185" s="68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68"/>
      <c r="G186" s="68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68"/>
      <c r="G187" s="68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68"/>
      <c r="G188" s="68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68"/>
      <c r="G189" s="68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68"/>
      <c r="G190" s="68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68"/>
      <c r="G191" s="68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68"/>
      <c r="G192" s="68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68"/>
      <c r="G193" s="68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68"/>
      <c r="G194" s="68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68"/>
      <c r="G195" s="68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68"/>
      <c r="G196" s="68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68"/>
      <c r="G197" s="68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68"/>
      <c r="G198" s="68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68"/>
      <c r="G199" s="68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68"/>
      <c r="G200" s="68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68"/>
      <c r="G201" s="68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68"/>
      <c r="G202" s="68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68"/>
      <c r="G203" s="68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68"/>
      <c r="G204" s="68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68"/>
      <c r="G205" s="68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68"/>
      <c r="G206" s="68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68"/>
      <c r="G207" s="68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68"/>
      <c r="G208" s="68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68"/>
      <c r="G209" s="68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68"/>
      <c r="G210" s="68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68"/>
      <c r="G211" s="68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68"/>
      <c r="G212" s="68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6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6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6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6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6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6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6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6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6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6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6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6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6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6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6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6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6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6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6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6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6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6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6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6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6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6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6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6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6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6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6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6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6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6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6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6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6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6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6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6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6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6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6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6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6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6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6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6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6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6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6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6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6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6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6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6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6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6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6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6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6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6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6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6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6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6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6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6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6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6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6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6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6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6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6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6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6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6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6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6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6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6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6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6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6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6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6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6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6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6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6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6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6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6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6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6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6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6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6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6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6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6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6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6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6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6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6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6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6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6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6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6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6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6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6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6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6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6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6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6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6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6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6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6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6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6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6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6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6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6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6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6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6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6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6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6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6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6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6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6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6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6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6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6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6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6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6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6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6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6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6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6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6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6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6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6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6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6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6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6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6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6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6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6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6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6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6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6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6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6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6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6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6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6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6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6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6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6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6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6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6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6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6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6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6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6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6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6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6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6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6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6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6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6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6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6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6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6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6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6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6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6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6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6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6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6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6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6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6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6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6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6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6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6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6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6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6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6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6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6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6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6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6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6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6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6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6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6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6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6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6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6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6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6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6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6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6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6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6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6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6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6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6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6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6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6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6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6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6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6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6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6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6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6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6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6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6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6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6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6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6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6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6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6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6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6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6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6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6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6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6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6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6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6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6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6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6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6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6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6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6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6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6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6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6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6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6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6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6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6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6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6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6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6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6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6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6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6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6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6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6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6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6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6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6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6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6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6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6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6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6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6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6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6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6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6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6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6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6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6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6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6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6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6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6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6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6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6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6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6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6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6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6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6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6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6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6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6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6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6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6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6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6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6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6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6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6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6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6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6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6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6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6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6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6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6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6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6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6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6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6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6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6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6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6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6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6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6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6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6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6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6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6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6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6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6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6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6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6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6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6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6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6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6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6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6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6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6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6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6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6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6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6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6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6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6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6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6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6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6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6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6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6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6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6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6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6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6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6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6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6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6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6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6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6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6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6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6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6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6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6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6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6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6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6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6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6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6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6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6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6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6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6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6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6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6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6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6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6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6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6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6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6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6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6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6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6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6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6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6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6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6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6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6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6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6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6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6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6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6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6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6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6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6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6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6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6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6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6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6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6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6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6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6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6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6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6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6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6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6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6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6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6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6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6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6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6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6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6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6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6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6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6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6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6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6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6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6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6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6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6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6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6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6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6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6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6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6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6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6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6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6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6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6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6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6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6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6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6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6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6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6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6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6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6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6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6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6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6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6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6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6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6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6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6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6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6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6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6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6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6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6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6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6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6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6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6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6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6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6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6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6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6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6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6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6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6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6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6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6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6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6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6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6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6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6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6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6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6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6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6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6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6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6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6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6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6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6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6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6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6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6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6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6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6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6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6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6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6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6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6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6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6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6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6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6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6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6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6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6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6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6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6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6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6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6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6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6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6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6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6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6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6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6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6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6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6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6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6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6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6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6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6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6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6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6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6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6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6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6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6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6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6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6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6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6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6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6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6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6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6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6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6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6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6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6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6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6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6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6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6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6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6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6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6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6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6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6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6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6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6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6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6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6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6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6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6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6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6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6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6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6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6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6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6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6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6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6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6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6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6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6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6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6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6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6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6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6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6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6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6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6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6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6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6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6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6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6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6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6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6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6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6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6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6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6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6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6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6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6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6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6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6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6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6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6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6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6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6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6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6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6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6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6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6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6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6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6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6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6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6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6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6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6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6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6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6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6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6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6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6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6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6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6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6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6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6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6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6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6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6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6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6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6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6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6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6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6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6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86"/>
      <c r="V971" s="86"/>
      <c r="W971" s="86"/>
      <c r="X971" s="86"/>
      <c r="Y971" s="86"/>
      <c r="Z971" s="86"/>
    </row>
    <row r="972">
      <c r="A972" s="4"/>
      <c r="B972" s="4"/>
      <c r="C972" s="4"/>
      <c r="D972" s="4"/>
      <c r="E972" s="4"/>
      <c r="F972" s="4"/>
      <c r="G972" s="4"/>
      <c r="H972" s="6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86"/>
      <c r="V972" s="86"/>
      <c r="W972" s="86"/>
      <c r="X972" s="86"/>
      <c r="Y972" s="86"/>
      <c r="Z972" s="86"/>
    </row>
    <row r="973">
      <c r="A973" s="4"/>
      <c r="B973" s="4"/>
      <c r="C973" s="4"/>
      <c r="D973" s="4"/>
      <c r="E973" s="4"/>
      <c r="F973" s="4"/>
      <c r="G973" s="4"/>
      <c r="H973" s="6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86"/>
      <c r="V973" s="86"/>
      <c r="W973" s="86"/>
      <c r="X973" s="86"/>
      <c r="Y973" s="86"/>
      <c r="Z973" s="86"/>
    </row>
    <row r="974">
      <c r="A974" s="4"/>
      <c r="B974" s="4"/>
      <c r="C974" s="4"/>
      <c r="D974" s="4"/>
      <c r="E974" s="4"/>
      <c r="F974" s="4"/>
      <c r="G974" s="4"/>
      <c r="H974" s="6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86"/>
      <c r="V974" s="86"/>
      <c r="W974" s="86"/>
      <c r="X974" s="86"/>
      <c r="Y974" s="86"/>
      <c r="Z974" s="86"/>
    </row>
    <row r="975">
      <c r="A975" s="4"/>
      <c r="B975" s="4"/>
      <c r="C975" s="4"/>
      <c r="D975" s="4"/>
      <c r="E975" s="4"/>
      <c r="F975" s="4"/>
      <c r="G975" s="4"/>
      <c r="H975" s="6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86"/>
      <c r="V975" s="86"/>
      <c r="W975" s="86"/>
      <c r="X975" s="86"/>
      <c r="Y975" s="86"/>
      <c r="Z975" s="86"/>
    </row>
    <row r="976">
      <c r="A976" s="4"/>
      <c r="B976" s="4"/>
      <c r="C976" s="4"/>
      <c r="D976" s="4"/>
      <c r="E976" s="4"/>
      <c r="F976" s="4"/>
      <c r="G976" s="4"/>
      <c r="H976" s="6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86"/>
      <c r="V976" s="86"/>
      <c r="W976" s="86"/>
      <c r="X976" s="86"/>
      <c r="Y976" s="86"/>
      <c r="Z976" s="86"/>
    </row>
    <row r="977">
      <c r="A977" s="4"/>
      <c r="B977" s="4"/>
      <c r="C977" s="4"/>
      <c r="D977" s="4"/>
      <c r="E977" s="4"/>
      <c r="F977" s="4"/>
      <c r="G977" s="4"/>
      <c r="H977" s="6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86"/>
      <c r="V977" s="86"/>
      <c r="W977" s="86"/>
      <c r="X977" s="86"/>
      <c r="Y977" s="86"/>
      <c r="Z977" s="86"/>
    </row>
    <row r="978">
      <c r="A978" s="4"/>
      <c r="B978" s="4"/>
      <c r="C978" s="4"/>
      <c r="D978" s="4"/>
      <c r="E978" s="4"/>
      <c r="F978" s="4"/>
      <c r="G978" s="4"/>
      <c r="H978" s="6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86"/>
      <c r="V978" s="86"/>
      <c r="W978" s="86"/>
      <c r="X978" s="86"/>
      <c r="Y978" s="86"/>
      <c r="Z978" s="86"/>
    </row>
    <row r="979">
      <c r="A979" s="4"/>
      <c r="B979" s="4"/>
      <c r="C979" s="4"/>
      <c r="D979" s="4"/>
      <c r="E979" s="4"/>
      <c r="F979" s="4"/>
      <c r="G979" s="4"/>
      <c r="H979" s="6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86"/>
      <c r="V979" s="86"/>
      <c r="W979" s="86"/>
      <c r="X979" s="86"/>
      <c r="Y979" s="86"/>
      <c r="Z979" s="86"/>
    </row>
    <row r="980">
      <c r="A980" s="4"/>
      <c r="B980" s="4"/>
      <c r="C980" s="4"/>
      <c r="D980" s="4"/>
      <c r="E980" s="4"/>
      <c r="F980" s="4"/>
      <c r="G980" s="4"/>
      <c r="H980" s="6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86"/>
      <c r="V980" s="86"/>
      <c r="W980" s="86"/>
      <c r="X980" s="86"/>
      <c r="Y980" s="86"/>
      <c r="Z980" s="86"/>
    </row>
    <row r="981">
      <c r="A981" s="4"/>
      <c r="B981" s="4"/>
      <c r="C981" s="4"/>
      <c r="D981" s="4"/>
      <c r="E981" s="4"/>
      <c r="F981" s="4"/>
      <c r="G981" s="4"/>
      <c r="H981" s="6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86"/>
      <c r="V981" s="86"/>
      <c r="W981" s="86"/>
      <c r="X981" s="86"/>
      <c r="Y981" s="86"/>
      <c r="Z981" s="86"/>
    </row>
    <row r="982">
      <c r="A982" s="4"/>
      <c r="B982" s="4"/>
      <c r="C982" s="4"/>
      <c r="D982" s="4"/>
      <c r="E982" s="4"/>
      <c r="F982" s="4"/>
      <c r="G982" s="4"/>
      <c r="H982" s="6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86"/>
      <c r="V982" s="86"/>
      <c r="W982" s="86"/>
      <c r="X982" s="86"/>
      <c r="Y982" s="86"/>
      <c r="Z982" s="86"/>
    </row>
    <row r="983">
      <c r="A983" s="4"/>
      <c r="B983" s="4"/>
      <c r="C983" s="4"/>
      <c r="D983" s="4"/>
      <c r="E983" s="4"/>
      <c r="F983" s="4"/>
      <c r="G983" s="4"/>
      <c r="H983" s="6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86"/>
      <c r="V983" s="86"/>
      <c r="W983" s="86"/>
      <c r="X983" s="86"/>
      <c r="Y983" s="86"/>
      <c r="Z983" s="86"/>
    </row>
    <row r="984">
      <c r="A984" s="4"/>
      <c r="B984" s="4"/>
      <c r="C984" s="4"/>
      <c r="D984" s="4"/>
      <c r="E984" s="4"/>
      <c r="F984" s="4"/>
      <c r="G984" s="4"/>
      <c r="H984" s="6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86"/>
      <c r="V984" s="86"/>
      <c r="W984" s="86"/>
      <c r="X984" s="86"/>
      <c r="Y984" s="86"/>
      <c r="Z984" s="86"/>
    </row>
    <row r="985">
      <c r="A985" s="4"/>
      <c r="B985" s="4"/>
      <c r="C985" s="4"/>
      <c r="D985" s="4"/>
      <c r="E985" s="4"/>
      <c r="F985" s="4"/>
      <c r="G985" s="4"/>
      <c r="H985" s="6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86"/>
      <c r="V985" s="86"/>
      <c r="W985" s="86"/>
      <c r="X985" s="86"/>
      <c r="Y985" s="86"/>
      <c r="Z985" s="86"/>
    </row>
    <row r="986">
      <c r="A986" s="4"/>
      <c r="B986" s="4"/>
      <c r="C986" s="4"/>
      <c r="D986" s="4"/>
      <c r="E986" s="4"/>
      <c r="F986" s="4"/>
      <c r="G986" s="4"/>
      <c r="H986" s="6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86"/>
      <c r="V986" s="86"/>
      <c r="W986" s="86"/>
      <c r="X986" s="86"/>
      <c r="Y986" s="86"/>
      <c r="Z986" s="86"/>
    </row>
    <row r="987">
      <c r="A987" s="4"/>
      <c r="B987" s="4"/>
      <c r="C987" s="4"/>
      <c r="D987" s="4"/>
      <c r="E987" s="4"/>
      <c r="F987" s="4"/>
      <c r="G987" s="4"/>
      <c r="H987" s="6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86"/>
      <c r="V987" s="86"/>
      <c r="W987" s="86"/>
      <c r="X987" s="86"/>
      <c r="Y987" s="86"/>
      <c r="Z987" s="86"/>
    </row>
    <row r="988">
      <c r="A988" s="4"/>
      <c r="B988" s="4"/>
      <c r="C988" s="4"/>
      <c r="D988" s="4"/>
      <c r="E988" s="4"/>
      <c r="F988" s="4"/>
      <c r="G988" s="4"/>
      <c r="H988" s="6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86"/>
      <c r="V988" s="86"/>
      <c r="W988" s="86"/>
      <c r="X988" s="86"/>
      <c r="Y988" s="86"/>
      <c r="Z988" s="86"/>
    </row>
    <row r="989">
      <c r="A989" s="4"/>
      <c r="B989" s="4"/>
      <c r="C989" s="4"/>
      <c r="D989" s="4"/>
      <c r="E989" s="4"/>
      <c r="F989" s="4"/>
      <c r="G989" s="4"/>
      <c r="H989" s="6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86"/>
      <c r="V989" s="86"/>
      <c r="W989" s="86"/>
      <c r="X989" s="86"/>
      <c r="Y989" s="86"/>
      <c r="Z989" s="86"/>
    </row>
    <row r="990">
      <c r="A990" s="4"/>
      <c r="B990" s="4"/>
      <c r="C990" s="4"/>
      <c r="D990" s="4"/>
      <c r="E990" s="4"/>
      <c r="F990" s="4"/>
      <c r="G990" s="4"/>
      <c r="H990" s="6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86"/>
      <c r="V990" s="86"/>
      <c r="W990" s="86"/>
      <c r="X990" s="86"/>
      <c r="Y990" s="86"/>
      <c r="Z990" s="86"/>
    </row>
    <row r="991">
      <c r="A991" s="4"/>
      <c r="B991" s="4"/>
      <c r="C991" s="4"/>
      <c r="D991" s="4"/>
      <c r="E991" s="4"/>
      <c r="F991" s="4"/>
      <c r="G991" s="4"/>
      <c r="H991" s="6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86"/>
      <c r="V991" s="86"/>
      <c r="W991" s="86"/>
      <c r="X991" s="86"/>
      <c r="Y991" s="86"/>
      <c r="Z991" s="86"/>
    </row>
    <row r="992">
      <c r="A992" s="4"/>
      <c r="B992" s="4"/>
      <c r="C992" s="4"/>
      <c r="D992" s="4"/>
      <c r="E992" s="4"/>
      <c r="F992" s="4"/>
      <c r="G992" s="4"/>
      <c r="H992" s="6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86"/>
      <c r="V992" s="86"/>
      <c r="W992" s="86"/>
      <c r="X992" s="86"/>
      <c r="Y992" s="86"/>
      <c r="Z992" s="86"/>
    </row>
    <row r="993">
      <c r="A993" s="4"/>
      <c r="B993" s="4"/>
      <c r="C993" s="4"/>
      <c r="D993" s="4"/>
      <c r="E993" s="4"/>
      <c r="F993" s="4"/>
      <c r="G993" s="4"/>
      <c r="H993" s="68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86"/>
      <c r="V993" s="86"/>
      <c r="W993" s="86"/>
      <c r="X993" s="86"/>
      <c r="Y993" s="86"/>
      <c r="Z993" s="86"/>
    </row>
    <row r="994">
      <c r="A994" s="4"/>
      <c r="B994" s="4"/>
      <c r="C994" s="4"/>
      <c r="D994" s="4"/>
      <c r="E994" s="4"/>
      <c r="F994" s="4"/>
      <c r="G994" s="4"/>
      <c r="H994" s="68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86"/>
      <c r="V994" s="86"/>
      <c r="W994" s="86"/>
      <c r="X994" s="86"/>
      <c r="Y994" s="86"/>
      <c r="Z994" s="86"/>
    </row>
    <row r="995">
      <c r="A995" s="4"/>
      <c r="B995" s="4"/>
      <c r="C995" s="4"/>
      <c r="D995" s="4"/>
      <c r="E995" s="4"/>
      <c r="F995" s="4"/>
      <c r="G995" s="4"/>
      <c r="H995" s="87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86"/>
      <c r="V995" s="86"/>
      <c r="W995" s="86"/>
      <c r="X995" s="86"/>
      <c r="Y995" s="86"/>
      <c r="Z995" s="86"/>
    </row>
    <row r="996">
      <c r="A996" s="4"/>
      <c r="B996" s="4"/>
      <c r="C996" s="4"/>
      <c r="D996" s="4"/>
      <c r="E996" s="4"/>
      <c r="F996" s="4"/>
      <c r="G996" s="4"/>
      <c r="H996" s="87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86"/>
      <c r="V996" s="86"/>
      <c r="W996" s="86"/>
      <c r="X996" s="86"/>
      <c r="Y996" s="86"/>
      <c r="Z996" s="86"/>
    </row>
    <row r="997">
      <c r="A997" s="4"/>
      <c r="B997" s="4"/>
      <c r="C997" s="4"/>
      <c r="D997" s="4"/>
      <c r="E997" s="4"/>
      <c r="F997" s="4"/>
      <c r="G997" s="4"/>
      <c r="H997" s="87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86"/>
      <c r="V997" s="86"/>
      <c r="W997" s="86"/>
      <c r="X997" s="86"/>
      <c r="Y997" s="86"/>
      <c r="Z997" s="86"/>
    </row>
    <row r="998">
      <c r="A998" s="4"/>
      <c r="B998" s="4"/>
      <c r="C998" s="4"/>
      <c r="D998" s="4"/>
      <c r="E998" s="4"/>
      <c r="F998" s="4"/>
      <c r="G998" s="4"/>
      <c r="H998" s="87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86"/>
      <c r="V998" s="86"/>
      <c r="W998" s="86"/>
      <c r="X998" s="86"/>
      <c r="Y998" s="86"/>
      <c r="Z998" s="86"/>
    </row>
    <row r="999">
      <c r="A999" s="4"/>
      <c r="B999" s="4"/>
      <c r="C999" s="4"/>
      <c r="D999" s="4"/>
      <c r="E999" s="4"/>
      <c r="F999" s="4"/>
      <c r="G999" s="4"/>
      <c r="H999" s="87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86"/>
      <c r="V999" s="86"/>
      <c r="W999" s="86"/>
      <c r="X999" s="86"/>
      <c r="Y999" s="86"/>
      <c r="Z999" s="86"/>
    </row>
    <row r="1000">
      <c r="A1000" s="4"/>
      <c r="B1000" s="4"/>
      <c r="C1000" s="4"/>
      <c r="D1000" s="4"/>
      <c r="E1000" s="4"/>
      <c r="F1000" s="4"/>
      <c r="G1000" s="4"/>
      <c r="H1000" s="87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86"/>
      <c r="V1000" s="86"/>
      <c r="W1000" s="86"/>
      <c r="X1000" s="86"/>
      <c r="Y1000" s="86"/>
      <c r="Z1000" s="86"/>
    </row>
    <row r="1001">
      <c r="A1001" s="4"/>
      <c r="B1001" s="4"/>
      <c r="C1001" s="4"/>
      <c r="D1001" s="4"/>
      <c r="E1001" s="4"/>
      <c r="F1001" s="4"/>
      <c r="G1001" s="4"/>
      <c r="H1001" s="87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86"/>
      <c r="V1001" s="86"/>
      <c r="W1001" s="86"/>
      <c r="X1001" s="86"/>
      <c r="Y1001" s="86"/>
      <c r="Z1001" s="86"/>
    </row>
    <row r="1002">
      <c r="A1002" s="4"/>
      <c r="B1002" s="4"/>
      <c r="C1002" s="4"/>
      <c r="D1002" s="4"/>
      <c r="E1002" s="4"/>
      <c r="F1002" s="4"/>
      <c r="G1002" s="4"/>
      <c r="H1002" s="87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86"/>
      <c r="V1002" s="86"/>
      <c r="W1002" s="86"/>
      <c r="X1002" s="86"/>
      <c r="Y1002" s="86"/>
      <c r="Z1002" s="86"/>
    </row>
    <row r="1003">
      <c r="A1003" s="4"/>
      <c r="B1003" s="4"/>
      <c r="C1003" s="4"/>
      <c r="D1003" s="4"/>
      <c r="E1003" s="4"/>
      <c r="F1003" s="4"/>
      <c r="G1003" s="4"/>
      <c r="H1003" s="87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86"/>
      <c r="V1003" s="86"/>
      <c r="W1003" s="86"/>
      <c r="X1003" s="86"/>
      <c r="Y1003" s="86"/>
      <c r="Z1003" s="86"/>
    </row>
    <row r="1004">
      <c r="A1004" s="4"/>
      <c r="B1004" s="4"/>
      <c r="C1004" s="4"/>
      <c r="D1004" s="4"/>
      <c r="E1004" s="4"/>
      <c r="F1004" s="4"/>
      <c r="G1004" s="4"/>
      <c r="H1004" s="87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86"/>
      <c r="V1004" s="86"/>
      <c r="W1004" s="86"/>
      <c r="X1004" s="86"/>
      <c r="Y1004" s="86"/>
      <c r="Z1004" s="86"/>
    </row>
    <row r="1005">
      <c r="A1005" s="4"/>
      <c r="B1005" s="4"/>
      <c r="C1005" s="4"/>
      <c r="D1005" s="4"/>
      <c r="E1005" s="4"/>
      <c r="F1005" s="4"/>
      <c r="G1005" s="4"/>
      <c r="H1005" s="87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86"/>
      <c r="V1005" s="86"/>
      <c r="W1005" s="86"/>
      <c r="X1005" s="86"/>
      <c r="Y1005" s="86"/>
      <c r="Z1005" s="86"/>
    </row>
  </sheetData>
  <autoFilter ref="$A$7:$G$212">
    <sortState ref="A7:G212">
      <sortCondition ref="D7:D212"/>
    </sortState>
  </autoFilter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61" t="s">
        <v>25</v>
      </c>
      <c r="C1" s="62" t="s">
        <v>26</v>
      </c>
      <c r="D1" s="63" t="s">
        <v>20</v>
      </c>
      <c r="E1" s="64" t="s">
        <v>21</v>
      </c>
      <c r="F1" s="65" t="s">
        <v>22</v>
      </c>
      <c r="G1" s="66" t="s">
        <v>23</v>
      </c>
      <c r="H1" s="67" t="s">
        <v>24</v>
      </c>
      <c r="I1" s="6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1" t="s">
        <v>27</v>
      </c>
      <c r="B2" s="69">
        <f>SUM(G7:G959)</f>
        <v>3273.715</v>
      </c>
      <c r="C2" s="70">
        <f>SUMIF(F8:F957,"MÉDIA MULTI-ANNONCEURS",G8:G957)</f>
        <v>0</v>
      </c>
      <c r="D2" s="71">
        <f>SUMIF(F8:F957,"PROMOTIONNEL",G8:G957)</f>
        <v>3273.715</v>
      </c>
      <c r="E2" s="72">
        <f>SUMIF(F8:F957,"DIST. PUBLICITAIRE SOLO",G8:G957)</f>
        <v>0</v>
      </c>
      <c r="F2" s="73">
        <f>SUMIF(F8:F957,"AGENCE PUB",G8:G957)</f>
        <v>0</v>
      </c>
      <c r="G2" s="74">
        <f>SUMIF(F8:F957,"AGENCE WEB",G8:G957)</f>
        <v>0</v>
      </c>
      <c r="H2" s="75">
        <f>SUMIF(F8:F957,"SERVICES IA",G8:G957)</f>
        <v>0</v>
      </c>
      <c r="I2" s="6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6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1" t="s">
        <v>28</v>
      </c>
      <c r="B4" s="69">
        <f>SUM(B8:B959)</f>
        <v>32737.15</v>
      </c>
      <c r="C4" s="70">
        <f>SUMIF(F8:F957,"MÉDIA MULTI-ANNONCEURS",B8:B957)</f>
        <v>0</v>
      </c>
      <c r="D4" s="71">
        <f>SUMIF(F8:F957,"PROMOTIONNEL",B8:B957)</f>
        <v>32737.15</v>
      </c>
      <c r="E4" s="72">
        <f>SUMIF(F8:F957,"DIST. PUBLICITAIRE SOLO",B8:B957)</f>
        <v>0</v>
      </c>
      <c r="F4" s="73">
        <f>SUMIF(F8:F957,"AGENCE PUB",B8:B957)</f>
        <v>0</v>
      </c>
      <c r="G4" s="74">
        <f>SUMIF(F8:F957,"AGENCE WEB",B8:B957)</f>
        <v>0</v>
      </c>
      <c r="H4" s="75">
        <f>SUMIF(F8:F957,"SERVICES IA",B8:B957)</f>
        <v>0</v>
      </c>
      <c r="I4" s="6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6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68"/>
      <c r="C6" s="68"/>
      <c r="D6" s="68"/>
      <c r="E6" s="68"/>
      <c r="F6" s="68"/>
      <c r="G6" s="68"/>
      <c r="H6" s="4"/>
      <c r="I6" s="6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1" t="s">
        <v>29</v>
      </c>
      <c r="B7" s="76" t="s">
        <v>30</v>
      </c>
      <c r="C7" s="77" t="s">
        <v>31</v>
      </c>
      <c r="D7" s="77" t="s">
        <v>32</v>
      </c>
      <c r="E7" s="76" t="s">
        <v>33</v>
      </c>
      <c r="F7" s="78" t="s">
        <v>34</v>
      </c>
      <c r="G7" s="78" t="s">
        <v>35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9" t="s">
        <v>142</v>
      </c>
      <c r="B8" s="80">
        <v>160.72</v>
      </c>
      <c r="C8" s="81" t="s">
        <v>182</v>
      </c>
      <c r="D8" s="82">
        <v>46113.0</v>
      </c>
      <c r="E8" s="83" t="s">
        <v>38</v>
      </c>
      <c r="F8" s="79" t="s">
        <v>20</v>
      </c>
      <c r="G8" s="68">
        <f t="shared" ref="G8:G163" si="1">B8*0.1</f>
        <v>16.072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79" t="s">
        <v>183</v>
      </c>
      <c r="B9" s="80">
        <v>545.0</v>
      </c>
      <c r="C9" s="81" t="s">
        <v>184</v>
      </c>
      <c r="D9" s="82">
        <v>46113.0</v>
      </c>
      <c r="E9" s="83" t="s">
        <v>38</v>
      </c>
      <c r="F9" s="79" t="s">
        <v>20</v>
      </c>
      <c r="G9" s="68">
        <f t="shared" si="1"/>
        <v>54.5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79" t="s">
        <v>183</v>
      </c>
      <c r="B10" s="80">
        <v>8777.56</v>
      </c>
      <c r="C10" s="81" t="s">
        <v>185</v>
      </c>
      <c r="D10" s="82">
        <v>46113.0</v>
      </c>
      <c r="E10" s="83" t="s">
        <v>38</v>
      </c>
      <c r="F10" s="79" t="s">
        <v>20</v>
      </c>
      <c r="G10" s="68">
        <f t="shared" si="1"/>
        <v>877.756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79" t="s">
        <v>142</v>
      </c>
      <c r="B11" s="80">
        <v>1625.0</v>
      </c>
      <c r="C11" s="81" t="s">
        <v>186</v>
      </c>
      <c r="D11" s="82">
        <v>46114.0</v>
      </c>
      <c r="E11" s="83" t="s">
        <v>38</v>
      </c>
      <c r="F11" s="79" t="s">
        <v>20</v>
      </c>
      <c r="G11" s="68">
        <f t="shared" si="1"/>
        <v>162.5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79" t="s">
        <v>187</v>
      </c>
      <c r="B12" s="80">
        <v>2049.59</v>
      </c>
      <c r="C12" s="81" t="s">
        <v>188</v>
      </c>
      <c r="D12" s="82">
        <v>46114.0</v>
      </c>
      <c r="E12" s="83" t="s">
        <v>38</v>
      </c>
      <c r="F12" s="79" t="s">
        <v>20</v>
      </c>
      <c r="G12" s="68">
        <f t="shared" si="1"/>
        <v>204.959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79" t="s">
        <v>189</v>
      </c>
      <c r="B13" s="80">
        <v>36.0</v>
      </c>
      <c r="C13" s="81" t="s">
        <v>190</v>
      </c>
      <c r="D13" s="82">
        <v>46115.0</v>
      </c>
      <c r="E13" s="83" t="s">
        <v>38</v>
      </c>
      <c r="F13" s="79" t="s">
        <v>20</v>
      </c>
      <c r="G13" s="68">
        <f t="shared" si="1"/>
        <v>3.6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79" t="s">
        <v>191</v>
      </c>
      <c r="B14" s="80">
        <v>2506.94</v>
      </c>
      <c r="C14" s="81" t="s">
        <v>192</v>
      </c>
      <c r="D14" s="82">
        <v>46118.0</v>
      </c>
      <c r="E14" s="83" t="s">
        <v>38</v>
      </c>
      <c r="F14" s="79" t="s">
        <v>20</v>
      </c>
      <c r="G14" s="68">
        <f t="shared" si="1"/>
        <v>250.694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79" t="s">
        <v>64</v>
      </c>
      <c r="B15" s="80"/>
      <c r="C15" s="81" t="s">
        <v>193</v>
      </c>
      <c r="D15" s="82">
        <v>46120.0</v>
      </c>
      <c r="E15" s="83" t="s">
        <v>38</v>
      </c>
      <c r="F15" s="79" t="s">
        <v>20</v>
      </c>
      <c r="G15" s="68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79" t="s">
        <v>194</v>
      </c>
      <c r="B16" s="80">
        <v>40.01</v>
      </c>
      <c r="C16" s="81" t="s">
        <v>195</v>
      </c>
      <c r="D16" s="82">
        <v>46120.0</v>
      </c>
      <c r="E16" s="83" t="s">
        <v>38</v>
      </c>
      <c r="F16" s="79" t="s">
        <v>20</v>
      </c>
      <c r="G16" s="68">
        <f t="shared" si="1"/>
        <v>4.001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79" t="s">
        <v>196</v>
      </c>
      <c r="B17" s="80">
        <v>4662.5</v>
      </c>
      <c r="C17" s="81" t="s">
        <v>197</v>
      </c>
      <c r="D17" s="82">
        <v>46121.0</v>
      </c>
      <c r="E17" s="83" t="s">
        <v>38</v>
      </c>
      <c r="F17" s="79" t="s">
        <v>20</v>
      </c>
      <c r="G17" s="68">
        <f t="shared" si="1"/>
        <v>466.25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79" t="s">
        <v>198</v>
      </c>
      <c r="B18" s="80">
        <v>540.0</v>
      </c>
      <c r="C18" s="81" t="s">
        <v>199</v>
      </c>
      <c r="D18" s="82">
        <v>46122.0</v>
      </c>
      <c r="E18" s="83" t="s">
        <v>38</v>
      </c>
      <c r="F18" s="79" t="s">
        <v>20</v>
      </c>
      <c r="G18" s="68">
        <f t="shared" si="1"/>
        <v>54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79" t="s">
        <v>200</v>
      </c>
      <c r="B19" s="80">
        <v>1544.23</v>
      </c>
      <c r="C19" s="81" t="s">
        <v>201</v>
      </c>
      <c r="D19" s="82">
        <v>46129.0</v>
      </c>
      <c r="E19" s="83" t="s">
        <v>38</v>
      </c>
      <c r="F19" s="79" t="s">
        <v>20</v>
      </c>
      <c r="G19" s="68">
        <f t="shared" si="1"/>
        <v>154.423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79" t="s">
        <v>202</v>
      </c>
      <c r="B20" s="80">
        <v>2340.0</v>
      </c>
      <c r="C20" s="81" t="s">
        <v>203</v>
      </c>
      <c r="D20" s="82">
        <v>46129.0</v>
      </c>
      <c r="E20" s="83" t="s">
        <v>38</v>
      </c>
      <c r="F20" s="79" t="s">
        <v>20</v>
      </c>
      <c r="G20" s="68">
        <f t="shared" si="1"/>
        <v>234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79" t="s">
        <v>72</v>
      </c>
      <c r="B21" s="80">
        <v>150.0</v>
      </c>
      <c r="C21" s="81" t="s">
        <v>204</v>
      </c>
      <c r="D21" s="82">
        <v>46129.0</v>
      </c>
      <c r="E21" s="83" t="s">
        <v>38</v>
      </c>
      <c r="F21" s="79" t="s">
        <v>20</v>
      </c>
      <c r="G21" s="68">
        <f t="shared" si="1"/>
        <v>15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79" t="s">
        <v>205</v>
      </c>
      <c r="B22" s="80">
        <v>168.21</v>
      </c>
      <c r="C22" s="81" t="s">
        <v>206</v>
      </c>
      <c r="D22" s="82">
        <v>46128.0</v>
      </c>
      <c r="E22" s="83" t="s">
        <v>38</v>
      </c>
      <c r="F22" s="79" t="s">
        <v>20</v>
      </c>
      <c r="G22" s="68">
        <f t="shared" si="1"/>
        <v>16.821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79" t="s">
        <v>207</v>
      </c>
      <c r="B23" s="80">
        <v>14.0</v>
      </c>
      <c r="C23" s="81" t="s">
        <v>208</v>
      </c>
      <c r="D23" s="82">
        <v>46128.0</v>
      </c>
      <c r="E23" s="83" t="s">
        <v>38</v>
      </c>
      <c r="F23" s="79" t="s">
        <v>20</v>
      </c>
      <c r="G23" s="68">
        <f t="shared" si="1"/>
        <v>1.4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79" t="s">
        <v>209</v>
      </c>
      <c r="B24" s="80">
        <v>3797.59</v>
      </c>
      <c r="C24" s="81" t="s">
        <v>210</v>
      </c>
      <c r="D24" s="82">
        <v>46126.0</v>
      </c>
      <c r="E24" s="83" t="s">
        <v>38</v>
      </c>
      <c r="F24" s="79" t="s">
        <v>20</v>
      </c>
      <c r="G24" s="68">
        <f t="shared" si="1"/>
        <v>379.759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79" t="s">
        <v>211</v>
      </c>
      <c r="B25" s="80">
        <v>1610.0</v>
      </c>
      <c r="C25" s="81" t="s">
        <v>212</v>
      </c>
      <c r="D25" s="82">
        <v>46126.0</v>
      </c>
      <c r="E25" s="83" t="s">
        <v>38</v>
      </c>
      <c r="F25" s="79" t="s">
        <v>20</v>
      </c>
      <c r="G25" s="68">
        <f t="shared" si="1"/>
        <v>161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79" t="s">
        <v>213</v>
      </c>
      <c r="B26" s="80">
        <v>40.0</v>
      </c>
      <c r="C26" s="81" t="s">
        <v>214</v>
      </c>
      <c r="D26" s="82">
        <v>46129.0</v>
      </c>
      <c r="E26" s="83" t="s">
        <v>38</v>
      </c>
      <c r="F26" s="79" t="s">
        <v>20</v>
      </c>
      <c r="G26" s="68">
        <f t="shared" si="1"/>
        <v>4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79" t="s">
        <v>213</v>
      </c>
      <c r="B27" s="80">
        <v>40.0</v>
      </c>
      <c r="C27" s="81" t="s">
        <v>215</v>
      </c>
      <c r="D27" s="82">
        <v>46129.0</v>
      </c>
      <c r="E27" s="83" t="s">
        <v>38</v>
      </c>
      <c r="F27" s="79" t="s">
        <v>20</v>
      </c>
      <c r="G27" s="68">
        <f t="shared" si="1"/>
        <v>4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79" t="s">
        <v>216</v>
      </c>
      <c r="B28" s="80">
        <v>29.0</v>
      </c>
      <c r="C28" s="81" t="s">
        <v>217</v>
      </c>
      <c r="D28" s="82">
        <v>46128.0</v>
      </c>
      <c r="E28" s="83" t="s">
        <v>38</v>
      </c>
      <c r="F28" s="79" t="s">
        <v>20</v>
      </c>
      <c r="G28" s="68">
        <f t="shared" si="1"/>
        <v>2.9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79" t="s">
        <v>218</v>
      </c>
      <c r="B29" s="80">
        <v>25.0</v>
      </c>
      <c r="C29" s="81" t="s">
        <v>219</v>
      </c>
      <c r="D29" s="82">
        <v>46128.0</v>
      </c>
      <c r="E29" s="83" t="s">
        <v>38</v>
      </c>
      <c r="F29" s="79" t="s">
        <v>20</v>
      </c>
      <c r="G29" s="68">
        <f t="shared" si="1"/>
        <v>2.5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79" t="s">
        <v>220</v>
      </c>
      <c r="B30" s="80">
        <v>56.0</v>
      </c>
      <c r="C30" s="81" t="s">
        <v>221</v>
      </c>
      <c r="D30" s="82">
        <v>46128.0</v>
      </c>
      <c r="E30" s="83" t="s">
        <v>38</v>
      </c>
      <c r="F30" s="79" t="s">
        <v>20</v>
      </c>
      <c r="G30" s="68">
        <f t="shared" si="1"/>
        <v>5.6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79" t="s">
        <v>222</v>
      </c>
      <c r="B31" s="80">
        <v>51.0</v>
      </c>
      <c r="C31" s="81" t="s">
        <v>223</v>
      </c>
      <c r="D31" s="82">
        <v>46128.0</v>
      </c>
      <c r="E31" s="83" t="s">
        <v>38</v>
      </c>
      <c r="F31" s="79" t="s">
        <v>20</v>
      </c>
      <c r="G31" s="68">
        <f t="shared" si="1"/>
        <v>5.1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79" t="s">
        <v>224</v>
      </c>
      <c r="B32" s="80">
        <v>54.0</v>
      </c>
      <c r="C32" s="81" t="s">
        <v>225</v>
      </c>
      <c r="D32" s="82">
        <v>46128.0</v>
      </c>
      <c r="E32" s="83" t="s">
        <v>38</v>
      </c>
      <c r="F32" s="79" t="s">
        <v>20</v>
      </c>
      <c r="G32" s="68">
        <f t="shared" si="1"/>
        <v>5.4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79" t="s">
        <v>216</v>
      </c>
      <c r="B33" s="80">
        <v>40.0</v>
      </c>
      <c r="C33" s="81" t="s">
        <v>226</v>
      </c>
      <c r="D33" s="82">
        <v>46127.0</v>
      </c>
      <c r="E33" s="83" t="s">
        <v>38</v>
      </c>
      <c r="F33" s="79" t="s">
        <v>20</v>
      </c>
      <c r="G33" s="68">
        <f t="shared" si="1"/>
        <v>4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79" t="s">
        <v>227</v>
      </c>
      <c r="B34" s="80">
        <v>46.0</v>
      </c>
      <c r="C34" s="81" t="s">
        <v>228</v>
      </c>
      <c r="D34" s="82">
        <v>46127.0</v>
      </c>
      <c r="E34" s="83" t="s">
        <v>38</v>
      </c>
      <c r="F34" s="79" t="s">
        <v>20</v>
      </c>
      <c r="G34" s="68">
        <f t="shared" si="1"/>
        <v>4.6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79" t="s">
        <v>229</v>
      </c>
      <c r="B35" s="80">
        <v>143.0</v>
      </c>
      <c r="C35" s="81" t="s">
        <v>230</v>
      </c>
      <c r="D35" s="82">
        <v>46127.0</v>
      </c>
      <c r="E35" s="83" t="s">
        <v>38</v>
      </c>
      <c r="F35" s="79" t="s">
        <v>20</v>
      </c>
      <c r="G35" s="68">
        <f t="shared" si="1"/>
        <v>14.3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79" t="s">
        <v>231</v>
      </c>
      <c r="B36" s="80">
        <v>22.0</v>
      </c>
      <c r="C36" s="81" t="s">
        <v>232</v>
      </c>
      <c r="D36" s="82">
        <v>46127.0</v>
      </c>
      <c r="E36" s="83" t="s">
        <v>38</v>
      </c>
      <c r="F36" s="79" t="s">
        <v>20</v>
      </c>
      <c r="G36" s="68">
        <f t="shared" si="1"/>
        <v>2.2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79" t="s">
        <v>194</v>
      </c>
      <c r="B37" s="80">
        <v>-40.01</v>
      </c>
      <c r="C37" s="81" t="s">
        <v>233</v>
      </c>
      <c r="D37" s="82">
        <v>46127.0</v>
      </c>
      <c r="E37" s="83" t="s">
        <v>38</v>
      </c>
      <c r="F37" s="79" t="s">
        <v>20</v>
      </c>
      <c r="G37" s="68">
        <f t="shared" si="1"/>
        <v>-4.001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79" t="s">
        <v>196</v>
      </c>
      <c r="B38" s="80">
        <v>-4662.5</v>
      </c>
      <c r="C38" s="81" t="s">
        <v>234</v>
      </c>
      <c r="D38" s="82">
        <v>46125.0</v>
      </c>
      <c r="E38" s="83" t="s">
        <v>38</v>
      </c>
      <c r="F38" s="79" t="s">
        <v>20</v>
      </c>
      <c r="G38" s="68">
        <f t="shared" si="1"/>
        <v>-466.25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79" t="s">
        <v>211</v>
      </c>
      <c r="B39" s="80">
        <v>2967.92</v>
      </c>
      <c r="C39" s="81" t="s">
        <v>235</v>
      </c>
      <c r="D39" s="82">
        <v>46135.0</v>
      </c>
      <c r="E39" s="83" t="s">
        <v>38</v>
      </c>
      <c r="F39" s="79" t="s">
        <v>20</v>
      </c>
      <c r="G39" s="68">
        <f t="shared" si="1"/>
        <v>296.792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79" t="s">
        <v>236</v>
      </c>
      <c r="B40" s="80">
        <v>432.23</v>
      </c>
      <c r="C40" s="81" t="s">
        <v>237</v>
      </c>
      <c r="D40" s="82">
        <v>46134.0</v>
      </c>
      <c r="E40" s="83" t="s">
        <v>38</v>
      </c>
      <c r="F40" s="79" t="s">
        <v>20</v>
      </c>
      <c r="G40" s="68">
        <f t="shared" si="1"/>
        <v>43.223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79" t="s">
        <v>238</v>
      </c>
      <c r="B41" s="80">
        <v>697.5</v>
      </c>
      <c r="C41" s="81" t="s">
        <v>239</v>
      </c>
      <c r="D41" s="82">
        <v>46134.0</v>
      </c>
      <c r="E41" s="83" t="s">
        <v>38</v>
      </c>
      <c r="F41" s="79" t="s">
        <v>20</v>
      </c>
      <c r="G41" s="68">
        <f t="shared" si="1"/>
        <v>69.75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79" t="s">
        <v>64</v>
      </c>
      <c r="B42" s="80">
        <v>65.18</v>
      </c>
      <c r="C42" s="81" t="s">
        <v>240</v>
      </c>
      <c r="D42" s="82">
        <v>46134.0</v>
      </c>
      <c r="E42" s="83" t="s">
        <v>38</v>
      </c>
      <c r="F42" s="79" t="s">
        <v>20</v>
      </c>
      <c r="G42" s="68">
        <f t="shared" si="1"/>
        <v>6.518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79" t="s">
        <v>64</v>
      </c>
      <c r="B43" s="80">
        <v>130.36</v>
      </c>
      <c r="C43" s="81" t="s">
        <v>241</v>
      </c>
      <c r="D43" s="82">
        <v>46134.0</v>
      </c>
      <c r="E43" s="83" t="s">
        <v>38</v>
      </c>
      <c r="F43" s="79" t="s">
        <v>20</v>
      </c>
      <c r="G43" s="68">
        <f t="shared" si="1"/>
        <v>13.036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79" t="s">
        <v>242</v>
      </c>
      <c r="B44" s="80">
        <v>495.6</v>
      </c>
      <c r="C44" s="81" t="s">
        <v>243</v>
      </c>
      <c r="D44" s="82">
        <v>46134.0</v>
      </c>
      <c r="E44" s="83" t="s">
        <v>38</v>
      </c>
      <c r="F44" s="79" t="s">
        <v>20</v>
      </c>
      <c r="G44" s="68">
        <f t="shared" si="1"/>
        <v>49.56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79" t="s">
        <v>244</v>
      </c>
      <c r="B45" s="80">
        <v>1854.5</v>
      </c>
      <c r="C45" s="81" t="s">
        <v>245</v>
      </c>
      <c r="D45" s="82">
        <v>46132.0</v>
      </c>
      <c r="E45" s="83" t="s">
        <v>38</v>
      </c>
      <c r="F45" s="79" t="s">
        <v>20</v>
      </c>
      <c r="G45" s="68">
        <f t="shared" si="1"/>
        <v>185.45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79" t="s">
        <v>246</v>
      </c>
      <c r="B46" s="80">
        <v>40.0</v>
      </c>
      <c r="C46" s="81" t="s">
        <v>247</v>
      </c>
      <c r="D46" s="82">
        <v>46133.0</v>
      </c>
      <c r="E46" s="83" t="s">
        <v>38</v>
      </c>
      <c r="F46" s="79" t="s">
        <v>20</v>
      </c>
      <c r="G46" s="68">
        <f t="shared" si="1"/>
        <v>4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79" t="s">
        <v>248</v>
      </c>
      <c r="B47" s="80">
        <v>11.0</v>
      </c>
      <c r="C47" s="81" t="s">
        <v>249</v>
      </c>
      <c r="D47" s="82">
        <v>46132.0</v>
      </c>
      <c r="E47" s="83" t="s">
        <v>38</v>
      </c>
      <c r="F47" s="79" t="s">
        <v>20</v>
      </c>
      <c r="G47" s="68">
        <f t="shared" si="1"/>
        <v>1.1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79" t="s">
        <v>213</v>
      </c>
      <c r="B48" s="80">
        <v>-40.0</v>
      </c>
      <c r="C48" s="81" t="s">
        <v>250</v>
      </c>
      <c r="D48" s="82">
        <v>46136.0</v>
      </c>
      <c r="E48" s="83" t="s">
        <v>38</v>
      </c>
      <c r="F48" s="79" t="s">
        <v>20</v>
      </c>
      <c r="G48" s="68">
        <f t="shared" si="1"/>
        <v>-4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79" t="s">
        <v>216</v>
      </c>
      <c r="B49" s="80">
        <v>-29.0</v>
      </c>
      <c r="C49" s="81" t="s">
        <v>251</v>
      </c>
      <c r="D49" s="82">
        <v>46135.0</v>
      </c>
      <c r="E49" s="83" t="s">
        <v>38</v>
      </c>
      <c r="F49" s="79" t="s">
        <v>20</v>
      </c>
      <c r="G49" s="68">
        <f t="shared" si="1"/>
        <v>-2.9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79" t="s">
        <v>220</v>
      </c>
      <c r="B50" s="80">
        <v>-56.0</v>
      </c>
      <c r="C50" s="81" t="s">
        <v>252</v>
      </c>
      <c r="D50" s="82">
        <v>46135.0</v>
      </c>
      <c r="E50" s="83" t="s">
        <v>38</v>
      </c>
      <c r="F50" s="79" t="s">
        <v>20</v>
      </c>
      <c r="G50" s="68">
        <f t="shared" si="1"/>
        <v>-5.6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79" t="s">
        <v>224</v>
      </c>
      <c r="B51" s="80">
        <v>-54.0</v>
      </c>
      <c r="C51" s="81" t="s">
        <v>253</v>
      </c>
      <c r="D51" s="82">
        <v>46135.0</v>
      </c>
      <c r="E51" s="83" t="s">
        <v>38</v>
      </c>
      <c r="F51" s="79" t="s">
        <v>20</v>
      </c>
      <c r="G51" s="68">
        <f t="shared" si="1"/>
        <v>-5.4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79" t="s">
        <v>227</v>
      </c>
      <c r="B52" s="80">
        <v>-45.98</v>
      </c>
      <c r="C52" s="81" t="s">
        <v>254</v>
      </c>
      <c r="D52" s="82">
        <v>46134.0</v>
      </c>
      <c r="E52" s="83" t="s">
        <v>38</v>
      </c>
      <c r="F52" s="79" t="s">
        <v>20</v>
      </c>
      <c r="G52" s="68">
        <f t="shared" si="1"/>
        <v>-4.598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79" t="s">
        <v>229</v>
      </c>
      <c r="B53" s="80">
        <v>-143.0</v>
      </c>
      <c r="C53" s="81" t="s">
        <v>255</v>
      </c>
      <c r="D53" s="82">
        <v>46134.0</v>
      </c>
      <c r="E53" s="83" t="s">
        <v>38</v>
      </c>
      <c r="F53" s="79" t="s">
        <v>20</v>
      </c>
      <c r="G53" s="68">
        <f t="shared" si="1"/>
        <v>-14.3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79"/>
      <c r="B54" s="80"/>
      <c r="C54" s="81"/>
      <c r="D54" s="82"/>
      <c r="E54" s="83"/>
      <c r="F54" s="79"/>
      <c r="G54" s="68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79"/>
      <c r="B55" s="80"/>
      <c r="C55" s="81"/>
      <c r="D55" s="82"/>
      <c r="E55" s="83"/>
      <c r="F55" s="79"/>
      <c r="G55" s="68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79"/>
      <c r="B56" s="80"/>
      <c r="C56" s="81"/>
      <c r="D56" s="82"/>
      <c r="E56" s="83"/>
      <c r="F56" s="79"/>
      <c r="G56" s="68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79"/>
      <c r="B57" s="80"/>
      <c r="C57" s="81"/>
      <c r="D57" s="82"/>
      <c r="E57" s="83"/>
      <c r="F57" s="79"/>
      <c r="G57" s="68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79"/>
      <c r="B58" s="80"/>
      <c r="C58" s="81"/>
      <c r="D58" s="82"/>
      <c r="E58" s="83"/>
      <c r="F58" s="79"/>
      <c r="G58" s="68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85"/>
      <c r="F59" s="4"/>
      <c r="G59" s="68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85"/>
      <c r="F60" s="4"/>
      <c r="G60" s="68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85"/>
      <c r="F61" s="4"/>
      <c r="G61" s="68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85"/>
      <c r="F62" s="4"/>
      <c r="G62" s="68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85"/>
      <c r="F63" s="4"/>
      <c r="G63" s="68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85"/>
      <c r="F64" s="4"/>
      <c r="G64" s="68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85"/>
      <c r="F65" s="4"/>
      <c r="G65" s="68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85"/>
      <c r="F66" s="4"/>
      <c r="G66" s="68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85"/>
      <c r="F67" s="4"/>
      <c r="G67" s="68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85"/>
      <c r="F68" s="4"/>
      <c r="G68" s="68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85"/>
      <c r="F69" s="4"/>
      <c r="G69" s="68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85"/>
      <c r="F70" s="4"/>
      <c r="G70" s="68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85"/>
      <c r="F71" s="4"/>
      <c r="G71" s="68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85"/>
      <c r="F72" s="4"/>
      <c r="G72" s="68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85"/>
      <c r="F73" s="4"/>
      <c r="G73" s="68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85"/>
      <c r="F74" s="4"/>
      <c r="G74" s="68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85"/>
      <c r="F75" s="4"/>
      <c r="G75" s="68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85"/>
      <c r="F76" s="4"/>
      <c r="G76" s="68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85"/>
      <c r="F77" s="4"/>
      <c r="G77" s="68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85"/>
      <c r="F78" s="4"/>
      <c r="G78" s="68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85"/>
      <c r="F79" s="4"/>
      <c r="G79" s="68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85"/>
      <c r="F80" s="4"/>
      <c r="G80" s="68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85"/>
      <c r="F81" s="4"/>
      <c r="G81" s="68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85"/>
      <c r="F82" s="4"/>
      <c r="G82" s="68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85"/>
      <c r="F83" s="4"/>
      <c r="G83" s="68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85"/>
      <c r="F84" s="4"/>
      <c r="G84" s="68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85"/>
      <c r="F85" s="4"/>
      <c r="G85" s="68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85"/>
      <c r="F86" s="4"/>
      <c r="G86" s="68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85"/>
      <c r="F87" s="4"/>
      <c r="G87" s="68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85"/>
      <c r="F88" s="4"/>
      <c r="G88" s="68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85"/>
      <c r="F89" s="4"/>
      <c r="G89" s="68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85"/>
      <c r="F90" s="4"/>
      <c r="G90" s="68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85"/>
      <c r="F91" s="4"/>
      <c r="G91" s="68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85"/>
      <c r="F92" s="4"/>
      <c r="G92" s="68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85"/>
      <c r="F93" s="4"/>
      <c r="G93" s="68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85"/>
      <c r="F94" s="4"/>
      <c r="G94" s="68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85"/>
      <c r="F95" s="4"/>
      <c r="G95" s="68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85"/>
      <c r="F96" s="4"/>
      <c r="G96" s="68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85"/>
      <c r="F97" s="4"/>
      <c r="G97" s="68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85"/>
      <c r="F98" s="4"/>
      <c r="G98" s="68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85"/>
      <c r="F99" s="4"/>
      <c r="G99" s="68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85"/>
      <c r="F100" s="4"/>
      <c r="G100" s="68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85"/>
      <c r="F101" s="4"/>
      <c r="G101" s="68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85"/>
      <c r="F102" s="4"/>
      <c r="G102" s="68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85"/>
      <c r="F103" s="4"/>
      <c r="G103" s="68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85"/>
      <c r="F104" s="4"/>
      <c r="G104" s="68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85"/>
      <c r="F105" s="4"/>
      <c r="G105" s="68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85"/>
      <c r="F106" s="4"/>
      <c r="G106" s="68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85"/>
      <c r="F107" s="4"/>
      <c r="G107" s="68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85"/>
      <c r="F108" s="4"/>
      <c r="G108" s="68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85"/>
      <c r="F109" s="4"/>
      <c r="G109" s="68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85"/>
      <c r="F110" s="4"/>
      <c r="G110" s="68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85"/>
      <c r="F111" s="4"/>
      <c r="G111" s="68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85"/>
      <c r="F112" s="4"/>
      <c r="G112" s="68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85"/>
      <c r="F113" s="4"/>
      <c r="G113" s="68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85"/>
      <c r="F114" s="4"/>
      <c r="G114" s="68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85"/>
      <c r="F115" s="4"/>
      <c r="G115" s="68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85"/>
      <c r="F116" s="4"/>
      <c r="G116" s="68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85"/>
      <c r="F117" s="4"/>
      <c r="G117" s="68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85"/>
      <c r="F118" s="4"/>
      <c r="G118" s="68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85"/>
      <c r="F119" s="4"/>
      <c r="G119" s="68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85"/>
      <c r="F120" s="4"/>
      <c r="G120" s="68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85"/>
      <c r="F121" s="4"/>
      <c r="G121" s="68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85"/>
      <c r="F122" s="4"/>
      <c r="G122" s="68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85"/>
      <c r="F123" s="4"/>
      <c r="G123" s="68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85"/>
      <c r="F124" s="4"/>
      <c r="G124" s="68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85"/>
      <c r="F125" s="4"/>
      <c r="G125" s="68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85"/>
      <c r="F126" s="4"/>
      <c r="G126" s="68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85"/>
      <c r="F127" s="4"/>
      <c r="G127" s="68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85"/>
      <c r="F128" s="4"/>
      <c r="G128" s="68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85"/>
      <c r="F129" s="4"/>
      <c r="G129" s="68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85"/>
      <c r="F130" s="4"/>
      <c r="G130" s="68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85"/>
      <c r="F131" s="4"/>
      <c r="G131" s="68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85"/>
      <c r="F132" s="4"/>
      <c r="G132" s="68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85"/>
      <c r="F133" s="4"/>
      <c r="G133" s="68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85"/>
      <c r="F134" s="4"/>
      <c r="G134" s="68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85"/>
      <c r="F135" s="4"/>
      <c r="G135" s="68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85"/>
      <c r="F136" s="4"/>
      <c r="G136" s="68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85"/>
      <c r="F137" s="4"/>
      <c r="G137" s="68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85"/>
      <c r="F138" s="4"/>
      <c r="G138" s="68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85"/>
      <c r="F139" s="4"/>
      <c r="G139" s="68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85"/>
      <c r="F140" s="4"/>
      <c r="G140" s="68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85"/>
      <c r="F141" s="4"/>
      <c r="G141" s="68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4"/>
      <c r="F142" s="68"/>
      <c r="G142" s="68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>
      <c r="A143" s="4"/>
      <c r="B143" s="4"/>
      <c r="C143" s="4"/>
      <c r="D143" s="4"/>
      <c r="E143" s="4"/>
      <c r="F143" s="68"/>
      <c r="G143" s="68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>
      <c r="A144" s="4"/>
      <c r="B144" s="4"/>
      <c r="C144" s="4"/>
      <c r="D144" s="4"/>
      <c r="E144" s="4"/>
      <c r="F144" s="68"/>
      <c r="G144" s="68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4"/>
      <c r="B145" s="4"/>
      <c r="C145" s="4"/>
      <c r="D145" s="4"/>
      <c r="E145" s="4"/>
      <c r="F145" s="68"/>
      <c r="G145" s="68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68"/>
      <c r="G146" s="68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68"/>
      <c r="G147" s="68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68"/>
      <c r="G148" s="68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68"/>
      <c r="G149" s="68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68"/>
      <c r="G150" s="68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68"/>
      <c r="G151" s="68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68"/>
      <c r="G152" s="68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68"/>
      <c r="G153" s="68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68"/>
      <c r="G154" s="68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68"/>
      <c r="G155" s="68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68"/>
      <c r="G156" s="68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68"/>
      <c r="G157" s="68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68"/>
      <c r="G158" s="68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68"/>
      <c r="G159" s="68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68"/>
      <c r="G160" s="68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68"/>
      <c r="G161" s="68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68"/>
      <c r="G162" s="68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68"/>
      <c r="G163" s="68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68"/>
      <c r="G164" s="68">
        <f t="shared" ref="G164:G209" si="2">B164*0.05</f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68"/>
      <c r="G165" s="68">
        <f t="shared" si="2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68"/>
      <c r="G166" s="68">
        <f t="shared" si="2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68"/>
      <c r="G167" s="68">
        <f t="shared" si="2"/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68"/>
      <c r="G168" s="68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68"/>
      <c r="G169" s="68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68"/>
      <c r="G170" s="68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68"/>
      <c r="G171" s="68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68"/>
      <c r="G172" s="68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68"/>
      <c r="G173" s="68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68"/>
      <c r="G174" s="68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68"/>
      <c r="G175" s="68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68"/>
      <c r="G176" s="68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68"/>
      <c r="G177" s="68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68"/>
      <c r="G178" s="68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68"/>
      <c r="G179" s="68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68"/>
      <c r="G180" s="68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68"/>
      <c r="G181" s="68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68"/>
      <c r="G182" s="68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68"/>
      <c r="G183" s="68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68"/>
      <c r="G184" s="68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68"/>
      <c r="G185" s="68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68"/>
      <c r="G186" s="68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68"/>
      <c r="G187" s="68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68"/>
      <c r="G188" s="68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68"/>
      <c r="G189" s="68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68"/>
      <c r="G190" s="68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68"/>
      <c r="G191" s="68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68"/>
      <c r="G192" s="68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68"/>
      <c r="G193" s="68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68"/>
      <c r="G194" s="68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68"/>
      <c r="G195" s="68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68"/>
      <c r="G196" s="68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68"/>
      <c r="G197" s="68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68"/>
      <c r="G198" s="68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68"/>
      <c r="G199" s="68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68"/>
      <c r="G200" s="68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68"/>
      <c r="G201" s="68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68"/>
      <c r="G202" s="68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68"/>
      <c r="G203" s="68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68"/>
      <c r="G204" s="68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68"/>
      <c r="G205" s="68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68"/>
      <c r="G206" s="68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68"/>
      <c r="G207" s="68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68"/>
      <c r="G208" s="68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68"/>
      <c r="G209" s="68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68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68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68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6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6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6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6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6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6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6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6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6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6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6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6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6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6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6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6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6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6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6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6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6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6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6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6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6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6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6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6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6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6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6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6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6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6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6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6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6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6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6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6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6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6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6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6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6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6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6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6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6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6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6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6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6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6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6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6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6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6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6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6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6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6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6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6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6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6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6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6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6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6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6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6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6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6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6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6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6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6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6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6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6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6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6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6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6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6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6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6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6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6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6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6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6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6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6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6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6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6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6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6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6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6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6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6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6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6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6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6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6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6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6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6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6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6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6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6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6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6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6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6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6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6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6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6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6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6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6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6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6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6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6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6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6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6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6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6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6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6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6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6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6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6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6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6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6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6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6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6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6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6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6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6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6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6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6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6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6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6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6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6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6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6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6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6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6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6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6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6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6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6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6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6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6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6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6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6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6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6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6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6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6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6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6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6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6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6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6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6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6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6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6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6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6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6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6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6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6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6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6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6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6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6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6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6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6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6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6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6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6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6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6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6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6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6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6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6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6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6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6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6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6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6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6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6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6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6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6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6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6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6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6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6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6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6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6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6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6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6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6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6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6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6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6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6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6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6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6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6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6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6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6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6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6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6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6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6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6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6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6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6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6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6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6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6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6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6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6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6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6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6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6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6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6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6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6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6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6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6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6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6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6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6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6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6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6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6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6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6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6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6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6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6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6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6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6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6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6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6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6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6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6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6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6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6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6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6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6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6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6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6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6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6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6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6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6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6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6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6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6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6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6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6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6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6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6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6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6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6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6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6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6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6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6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6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6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6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6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6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6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6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6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6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6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6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6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6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6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6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6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6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6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6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6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6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6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6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6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6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6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6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6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6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6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6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6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6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6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6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6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6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6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6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6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6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6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6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6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6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6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6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6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6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6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6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6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6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6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6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6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6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6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6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6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6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6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6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6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6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6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6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6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6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6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6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6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6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6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6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6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6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6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6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6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6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6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6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6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6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6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6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6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6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6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6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6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6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6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6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6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6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6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6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6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6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6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6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6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6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6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6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6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6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6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6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6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6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6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6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6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6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6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6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6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6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6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6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6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6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6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6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6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6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6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6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6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6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6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6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6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6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6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6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6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6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6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6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6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6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6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6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6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6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6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6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6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6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6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6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6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6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6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6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6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6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6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6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6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6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6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6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6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6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6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6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6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6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6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6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6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6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6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6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6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6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6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6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6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6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6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6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6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6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6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6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6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6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6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6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6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6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6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6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6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6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6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6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6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6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6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6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6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6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6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6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6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6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6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6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6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6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6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6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6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6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6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6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6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6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6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6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6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6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6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6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6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6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6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6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6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6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6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6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6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6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6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6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6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6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6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6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6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6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6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6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6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6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6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6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6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6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6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6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6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6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6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6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6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6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6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6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6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6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6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6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6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6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6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6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6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6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6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6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6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6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6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6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6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6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6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6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6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6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6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6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6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6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6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6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6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6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6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6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6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6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6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6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6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6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6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6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6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6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6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6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6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6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6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6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6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6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6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6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6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6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6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6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6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6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6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6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6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6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6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6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6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6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6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6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6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6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6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6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6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6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6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6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6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6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6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6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6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6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6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6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6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6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6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6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6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6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6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6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6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6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6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6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6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6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6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6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6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6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4"/>
      <c r="G915" s="4"/>
      <c r="H915" s="68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68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68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6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6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6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6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6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6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6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6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6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6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6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6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6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6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6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6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6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6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6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6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6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6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6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6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6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6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6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6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6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6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6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6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6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6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6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6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6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6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6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6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6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6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6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6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6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6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6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6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6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6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6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86"/>
      <c r="V968" s="86"/>
      <c r="W968" s="86"/>
      <c r="X968" s="86"/>
      <c r="Y968" s="86"/>
      <c r="Z968" s="86"/>
    </row>
    <row r="969">
      <c r="A969" s="4"/>
      <c r="B969" s="4"/>
      <c r="C969" s="4"/>
      <c r="D969" s="4"/>
      <c r="E969" s="4"/>
      <c r="F969" s="4"/>
      <c r="G969" s="4"/>
      <c r="H969" s="6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86"/>
      <c r="V969" s="86"/>
      <c r="W969" s="86"/>
      <c r="X969" s="86"/>
      <c r="Y969" s="86"/>
      <c r="Z969" s="86"/>
    </row>
    <row r="970">
      <c r="A970" s="4"/>
      <c r="B970" s="4"/>
      <c r="C970" s="4"/>
      <c r="D970" s="4"/>
      <c r="E970" s="4"/>
      <c r="F970" s="4"/>
      <c r="G970" s="4"/>
      <c r="H970" s="6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86"/>
      <c r="V970" s="86"/>
      <c r="W970" s="86"/>
      <c r="X970" s="86"/>
      <c r="Y970" s="86"/>
      <c r="Z970" s="86"/>
    </row>
    <row r="971">
      <c r="A971" s="4"/>
      <c r="B971" s="4"/>
      <c r="C971" s="4"/>
      <c r="D971" s="4"/>
      <c r="E971" s="4"/>
      <c r="F971" s="4"/>
      <c r="G971" s="4"/>
      <c r="H971" s="6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86"/>
      <c r="V971" s="86"/>
      <c r="W971" s="86"/>
      <c r="X971" s="86"/>
      <c r="Y971" s="86"/>
      <c r="Z971" s="86"/>
    </row>
    <row r="972">
      <c r="A972" s="4"/>
      <c r="B972" s="4"/>
      <c r="C972" s="4"/>
      <c r="D972" s="4"/>
      <c r="E972" s="4"/>
      <c r="F972" s="4"/>
      <c r="G972" s="4"/>
      <c r="H972" s="6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86"/>
      <c r="V972" s="86"/>
      <c r="W972" s="86"/>
      <c r="X972" s="86"/>
      <c r="Y972" s="86"/>
      <c r="Z972" s="86"/>
    </row>
    <row r="973">
      <c r="A973" s="4"/>
      <c r="B973" s="4"/>
      <c r="C973" s="4"/>
      <c r="D973" s="4"/>
      <c r="E973" s="4"/>
      <c r="F973" s="4"/>
      <c r="G973" s="4"/>
      <c r="H973" s="6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86"/>
      <c r="V973" s="86"/>
      <c r="W973" s="86"/>
      <c r="X973" s="86"/>
      <c r="Y973" s="86"/>
      <c r="Z973" s="86"/>
    </row>
    <row r="974">
      <c r="A974" s="4"/>
      <c r="B974" s="4"/>
      <c r="C974" s="4"/>
      <c r="D974" s="4"/>
      <c r="E974" s="4"/>
      <c r="F974" s="4"/>
      <c r="G974" s="4"/>
      <c r="H974" s="6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86"/>
      <c r="V974" s="86"/>
      <c r="W974" s="86"/>
      <c r="X974" s="86"/>
      <c r="Y974" s="86"/>
      <c r="Z974" s="86"/>
    </row>
    <row r="975">
      <c r="A975" s="4"/>
      <c r="B975" s="4"/>
      <c r="C975" s="4"/>
      <c r="D975" s="4"/>
      <c r="E975" s="4"/>
      <c r="F975" s="4"/>
      <c r="G975" s="4"/>
      <c r="H975" s="6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86"/>
      <c r="V975" s="86"/>
      <c r="W975" s="86"/>
      <c r="X975" s="86"/>
      <c r="Y975" s="86"/>
      <c r="Z975" s="86"/>
    </row>
    <row r="976">
      <c r="A976" s="4"/>
      <c r="B976" s="4"/>
      <c r="C976" s="4"/>
      <c r="D976" s="4"/>
      <c r="E976" s="4"/>
      <c r="F976" s="4"/>
      <c r="G976" s="4"/>
      <c r="H976" s="6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86"/>
      <c r="V976" s="86"/>
      <c r="W976" s="86"/>
      <c r="X976" s="86"/>
      <c r="Y976" s="86"/>
      <c r="Z976" s="86"/>
    </row>
    <row r="977">
      <c r="A977" s="4"/>
      <c r="B977" s="4"/>
      <c r="C977" s="4"/>
      <c r="D977" s="4"/>
      <c r="E977" s="4"/>
      <c r="F977" s="4"/>
      <c r="G977" s="4"/>
      <c r="H977" s="6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86"/>
      <c r="V977" s="86"/>
      <c r="W977" s="86"/>
      <c r="X977" s="86"/>
      <c r="Y977" s="86"/>
      <c r="Z977" s="86"/>
    </row>
    <row r="978">
      <c r="A978" s="4"/>
      <c r="B978" s="4"/>
      <c r="C978" s="4"/>
      <c r="D978" s="4"/>
      <c r="E978" s="4"/>
      <c r="F978" s="4"/>
      <c r="G978" s="4"/>
      <c r="H978" s="6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86"/>
      <c r="V978" s="86"/>
      <c r="W978" s="86"/>
      <c r="X978" s="86"/>
      <c r="Y978" s="86"/>
      <c r="Z978" s="86"/>
    </row>
    <row r="979">
      <c r="A979" s="4"/>
      <c r="B979" s="4"/>
      <c r="C979" s="4"/>
      <c r="D979" s="4"/>
      <c r="E979" s="4"/>
      <c r="F979" s="4"/>
      <c r="G979" s="4"/>
      <c r="H979" s="6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86"/>
      <c r="V979" s="86"/>
      <c r="W979" s="86"/>
      <c r="X979" s="86"/>
      <c r="Y979" s="86"/>
      <c r="Z979" s="86"/>
    </row>
    <row r="980">
      <c r="A980" s="4"/>
      <c r="B980" s="4"/>
      <c r="C980" s="4"/>
      <c r="D980" s="4"/>
      <c r="E980" s="4"/>
      <c r="F980" s="4"/>
      <c r="G980" s="4"/>
      <c r="H980" s="6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86"/>
      <c r="V980" s="86"/>
      <c r="W980" s="86"/>
      <c r="X980" s="86"/>
      <c r="Y980" s="86"/>
      <c r="Z980" s="86"/>
    </row>
    <row r="981">
      <c r="A981" s="4"/>
      <c r="B981" s="4"/>
      <c r="C981" s="4"/>
      <c r="D981" s="4"/>
      <c r="E981" s="4"/>
      <c r="F981" s="4"/>
      <c r="G981" s="4"/>
      <c r="H981" s="6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86"/>
      <c r="V981" s="86"/>
      <c r="W981" s="86"/>
      <c r="X981" s="86"/>
      <c r="Y981" s="86"/>
      <c r="Z981" s="86"/>
    </row>
    <row r="982">
      <c r="A982" s="4"/>
      <c r="B982" s="4"/>
      <c r="C982" s="4"/>
      <c r="D982" s="4"/>
      <c r="E982" s="4"/>
      <c r="F982" s="4"/>
      <c r="G982" s="4"/>
      <c r="H982" s="6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86"/>
      <c r="V982" s="86"/>
      <c r="W982" s="86"/>
      <c r="X982" s="86"/>
      <c r="Y982" s="86"/>
      <c r="Z982" s="86"/>
    </row>
    <row r="983">
      <c r="A983" s="4"/>
      <c r="B983" s="4"/>
      <c r="C983" s="4"/>
      <c r="D983" s="4"/>
      <c r="E983" s="4"/>
      <c r="F983" s="4"/>
      <c r="G983" s="4"/>
      <c r="H983" s="6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86"/>
      <c r="V983" s="86"/>
      <c r="W983" s="86"/>
      <c r="X983" s="86"/>
      <c r="Y983" s="86"/>
      <c r="Z983" s="86"/>
    </row>
    <row r="984">
      <c r="A984" s="4"/>
      <c r="B984" s="4"/>
      <c r="C984" s="4"/>
      <c r="D984" s="4"/>
      <c r="E984" s="4"/>
      <c r="F984" s="4"/>
      <c r="G984" s="4"/>
      <c r="H984" s="6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86"/>
      <c r="V984" s="86"/>
      <c r="W984" s="86"/>
      <c r="X984" s="86"/>
      <c r="Y984" s="86"/>
      <c r="Z984" s="86"/>
    </row>
    <row r="985">
      <c r="A985" s="4"/>
      <c r="B985" s="4"/>
      <c r="C985" s="4"/>
      <c r="D985" s="4"/>
      <c r="E985" s="4"/>
      <c r="F985" s="4"/>
      <c r="G985" s="4"/>
      <c r="H985" s="6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86"/>
      <c r="V985" s="86"/>
      <c r="W985" s="86"/>
      <c r="X985" s="86"/>
      <c r="Y985" s="86"/>
      <c r="Z985" s="86"/>
    </row>
    <row r="986">
      <c r="A986" s="4"/>
      <c r="B986" s="4"/>
      <c r="C986" s="4"/>
      <c r="D986" s="4"/>
      <c r="E986" s="4"/>
      <c r="F986" s="4"/>
      <c r="G986" s="4"/>
      <c r="H986" s="6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86"/>
      <c r="V986" s="86"/>
      <c r="W986" s="86"/>
      <c r="X986" s="86"/>
      <c r="Y986" s="86"/>
      <c r="Z986" s="86"/>
    </row>
    <row r="987">
      <c r="A987" s="4"/>
      <c r="B987" s="4"/>
      <c r="C987" s="4"/>
      <c r="D987" s="4"/>
      <c r="E987" s="4"/>
      <c r="F987" s="4"/>
      <c r="G987" s="4"/>
      <c r="H987" s="6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86"/>
      <c r="V987" s="86"/>
      <c r="W987" s="86"/>
      <c r="X987" s="86"/>
      <c r="Y987" s="86"/>
      <c r="Z987" s="86"/>
    </row>
    <row r="988">
      <c r="A988" s="4"/>
      <c r="B988" s="4"/>
      <c r="C988" s="4"/>
      <c r="D988" s="4"/>
      <c r="E988" s="4"/>
      <c r="F988" s="4"/>
      <c r="G988" s="4"/>
      <c r="H988" s="6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86"/>
      <c r="V988" s="86"/>
      <c r="W988" s="86"/>
      <c r="X988" s="86"/>
      <c r="Y988" s="86"/>
      <c r="Z988" s="86"/>
    </row>
    <row r="989">
      <c r="A989" s="4"/>
      <c r="B989" s="4"/>
      <c r="C989" s="4"/>
      <c r="D989" s="4"/>
      <c r="E989" s="4"/>
      <c r="F989" s="4"/>
      <c r="G989" s="4"/>
      <c r="H989" s="6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86"/>
      <c r="V989" s="86"/>
      <c r="W989" s="86"/>
      <c r="X989" s="86"/>
      <c r="Y989" s="86"/>
      <c r="Z989" s="86"/>
    </row>
    <row r="990">
      <c r="A990" s="4"/>
      <c r="B990" s="4"/>
      <c r="C990" s="4"/>
      <c r="D990" s="4"/>
      <c r="E990" s="4"/>
      <c r="F990" s="4"/>
      <c r="G990" s="4"/>
      <c r="H990" s="6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86"/>
      <c r="V990" s="86"/>
      <c r="W990" s="86"/>
      <c r="X990" s="86"/>
      <c r="Y990" s="86"/>
      <c r="Z990" s="86"/>
    </row>
    <row r="991">
      <c r="A991" s="4"/>
      <c r="B991" s="4"/>
      <c r="C991" s="4"/>
      <c r="D991" s="4"/>
      <c r="E991" s="4"/>
      <c r="F991" s="4"/>
      <c r="G991" s="4"/>
      <c r="H991" s="6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86"/>
      <c r="V991" s="86"/>
      <c r="W991" s="86"/>
      <c r="X991" s="86"/>
      <c r="Y991" s="86"/>
      <c r="Z991" s="86"/>
    </row>
    <row r="992">
      <c r="A992" s="4"/>
      <c r="B992" s="4"/>
      <c r="C992" s="4"/>
      <c r="D992" s="4"/>
      <c r="E992" s="4"/>
      <c r="F992" s="4"/>
      <c r="G992" s="4"/>
      <c r="H992" s="87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86"/>
      <c r="V992" s="86"/>
      <c r="W992" s="86"/>
      <c r="X992" s="86"/>
      <c r="Y992" s="86"/>
      <c r="Z992" s="86"/>
    </row>
    <row r="993">
      <c r="A993" s="4"/>
      <c r="B993" s="4"/>
      <c r="C993" s="4"/>
      <c r="D993" s="4"/>
      <c r="E993" s="4"/>
      <c r="F993" s="4"/>
      <c r="G993" s="4"/>
      <c r="H993" s="87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86"/>
      <c r="V993" s="86"/>
      <c r="W993" s="86"/>
      <c r="X993" s="86"/>
      <c r="Y993" s="86"/>
      <c r="Z993" s="86"/>
    </row>
    <row r="994">
      <c r="A994" s="4"/>
      <c r="B994" s="4"/>
      <c r="C994" s="4"/>
      <c r="D994" s="4"/>
      <c r="E994" s="4"/>
      <c r="F994" s="4"/>
      <c r="G994" s="4"/>
      <c r="H994" s="87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86"/>
      <c r="V994" s="86"/>
      <c r="W994" s="86"/>
      <c r="X994" s="86"/>
      <c r="Y994" s="86"/>
      <c r="Z994" s="86"/>
    </row>
    <row r="995">
      <c r="A995" s="4"/>
      <c r="B995" s="4"/>
      <c r="C995" s="4"/>
      <c r="D995" s="4"/>
      <c r="E995" s="4"/>
      <c r="F995" s="4"/>
      <c r="G995" s="4"/>
      <c r="H995" s="87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86"/>
      <c r="V995" s="86"/>
      <c r="W995" s="86"/>
      <c r="X995" s="86"/>
      <c r="Y995" s="86"/>
      <c r="Z995" s="86"/>
    </row>
    <row r="996">
      <c r="A996" s="4"/>
      <c r="B996" s="4"/>
      <c r="C996" s="4"/>
      <c r="D996" s="4"/>
      <c r="E996" s="4"/>
      <c r="F996" s="4"/>
      <c r="G996" s="4"/>
      <c r="H996" s="87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86"/>
      <c r="V996" s="86"/>
      <c r="W996" s="86"/>
      <c r="X996" s="86"/>
      <c r="Y996" s="86"/>
      <c r="Z996" s="86"/>
    </row>
    <row r="997">
      <c r="A997" s="4"/>
      <c r="B997" s="4"/>
      <c r="C997" s="4"/>
      <c r="D997" s="4"/>
      <c r="E997" s="4"/>
      <c r="F997" s="4"/>
      <c r="G997" s="4"/>
      <c r="H997" s="87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86"/>
      <c r="V997" s="86"/>
      <c r="W997" s="86"/>
      <c r="X997" s="86"/>
      <c r="Y997" s="86"/>
      <c r="Z997" s="86"/>
    </row>
    <row r="998">
      <c r="A998" s="4"/>
      <c r="B998" s="4"/>
      <c r="C998" s="4"/>
      <c r="D998" s="4"/>
      <c r="E998" s="4"/>
      <c r="F998" s="4"/>
      <c r="G998" s="4"/>
      <c r="H998" s="87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86"/>
      <c r="V998" s="86"/>
      <c r="W998" s="86"/>
      <c r="X998" s="86"/>
      <c r="Y998" s="86"/>
      <c r="Z998" s="86"/>
    </row>
    <row r="999">
      <c r="A999" s="4"/>
      <c r="B999" s="4"/>
      <c r="C999" s="4"/>
      <c r="D999" s="4"/>
      <c r="E999" s="4"/>
      <c r="F999" s="4"/>
      <c r="G999" s="4"/>
      <c r="H999" s="87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86"/>
      <c r="V999" s="86"/>
      <c r="W999" s="86"/>
      <c r="X999" s="86"/>
      <c r="Y999" s="86"/>
      <c r="Z999" s="86"/>
    </row>
    <row r="1000">
      <c r="A1000" s="4"/>
      <c r="B1000" s="4"/>
      <c r="C1000" s="4"/>
      <c r="D1000" s="4"/>
      <c r="E1000" s="4"/>
      <c r="F1000" s="4"/>
      <c r="G1000" s="4"/>
      <c r="H1000" s="87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86"/>
      <c r="V1000" s="86"/>
      <c r="W1000" s="86"/>
      <c r="X1000" s="86"/>
      <c r="Y1000" s="86"/>
      <c r="Z1000" s="86"/>
    </row>
    <row r="1001">
      <c r="A1001" s="4"/>
      <c r="B1001" s="4"/>
      <c r="C1001" s="4"/>
      <c r="D1001" s="4"/>
      <c r="E1001" s="4"/>
      <c r="F1001" s="4"/>
      <c r="G1001" s="4"/>
      <c r="H1001" s="87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86"/>
      <c r="V1001" s="86"/>
      <c r="W1001" s="86"/>
      <c r="X1001" s="86"/>
      <c r="Y1001" s="86"/>
      <c r="Z1001" s="86"/>
    </row>
    <row r="1002">
      <c r="A1002" s="4"/>
      <c r="B1002" s="4"/>
      <c r="C1002" s="4"/>
      <c r="D1002" s="4"/>
      <c r="E1002" s="4"/>
      <c r="F1002" s="4"/>
      <c r="G1002" s="4"/>
      <c r="H1002" s="87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86"/>
      <c r="V1002" s="86"/>
      <c r="W1002" s="86"/>
      <c r="X1002" s="86"/>
      <c r="Y1002" s="86"/>
      <c r="Z1002" s="86"/>
    </row>
  </sheetData>
  <autoFilter ref="$A$7:$G$209">
    <sortState ref="A7:G209">
      <sortCondition ref="D7:D209"/>
    </sortState>
  </autoFilter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61" t="s">
        <v>25</v>
      </c>
      <c r="C1" s="62" t="s">
        <v>26</v>
      </c>
      <c r="D1" s="63" t="s">
        <v>20</v>
      </c>
      <c r="E1" s="64" t="s">
        <v>21</v>
      </c>
      <c r="F1" s="65" t="s">
        <v>22</v>
      </c>
      <c r="G1" s="66" t="s">
        <v>23</v>
      </c>
      <c r="H1" s="67" t="s">
        <v>24</v>
      </c>
      <c r="I1" s="6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1" t="s">
        <v>27</v>
      </c>
      <c r="B2" s="69">
        <f>SUM(G7:G962)</f>
        <v>0</v>
      </c>
      <c r="C2" s="70">
        <f>SUMIF(F8:F960,"MÉDIA MULTI-ANNONCEURS",G8:G960)</f>
        <v>0</v>
      </c>
      <c r="D2" s="71">
        <f>SUMIF(F8:F960,"PROMOTIONNEL",G8:G960)</f>
        <v>0</v>
      </c>
      <c r="E2" s="72">
        <f>SUMIF(F8:F960,"DIST. PUBLICITAIRE SOLO",G8:G960)</f>
        <v>0</v>
      </c>
      <c r="F2" s="73">
        <f>SUMIF(F8:F960,"AGENCE PUB",G8:G960)</f>
        <v>0</v>
      </c>
      <c r="G2" s="74">
        <f>SUMIF(F8:F960,"AGENCE WEB",G8:G960)</f>
        <v>0</v>
      </c>
      <c r="H2" s="75">
        <f>SUMIF(F8:F960,"SERVICES IA",G8:G960)</f>
        <v>0</v>
      </c>
      <c r="I2" s="6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6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1" t="s">
        <v>28</v>
      </c>
      <c r="B4" s="69">
        <f>SUM(B8:B962)</f>
        <v>0</v>
      </c>
      <c r="C4" s="70">
        <f>SUMIF(F8:F960,"MÉDIA MULTI-ANNONCEURS",B8:B960)</f>
        <v>0</v>
      </c>
      <c r="D4" s="71">
        <f>SUMIF(F8:F960,"PROMOTIONNEL",B8:B960)</f>
        <v>0</v>
      </c>
      <c r="E4" s="72">
        <f>SUMIF(F8:F960,"DIST. PUBLICITAIRE SOLO",B8:B960)</f>
        <v>0</v>
      </c>
      <c r="F4" s="73">
        <f>SUMIF(F8:F960,"AGENCE PUB",B8:B960)</f>
        <v>0</v>
      </c>
      <c r="G4" s="74">
        <f>SUMIF(F8:F960,"AGENCE WEB",B8:B960)</f>
        <v>0</v>
      </c>
      <c r="H4" s="75">
        <f>SUMIF(F8:F960,"SERVICES IA",B8:B960)</f>
        <v>0</v>
      </c>
      <c r="I4" s="6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6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68"/>
      <c r="C6" s="68"/>
      <c r="D6" s="68"/>
      <c r="E6" s="68"/>
      <c r="F6" s="68"/>
      <c r="G6" s="68"/>
      <c r="H6" s="4"/>
      <c r="I6" s="6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1" t="s">
        <v>29</v>
      </c>
      <c r="B7" s="76" t="s">
        <v>30</v>
      </c>
      <c r="C7" s="77" t="s">
        <v>31</v>
      </c>
      <c r="D7" s="77" t="s">
        <v>32</v>
      </c>
      <c r="E7" s="76" t="s">
        <v>33</v>
      </c>
      <c r="F7" s="78" t="s">
        <v>34</v>
      </c>
      <c r="G7" s="78" t="s">
        <v>35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9"/>
      <c r="B8" s="80"/>
      <c r="C8" s="81"/>
      <c r="D8" s="82"/>
      <c r="E8" s="83"/>
      <c r="F8" s="79"/>
      <c r="G8" s="68">
        <f t="shared" ref="G8:G166" si="1">B8*0.1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79"/>
      <c r="B9" s="80"/>
      <c r="C9" s="79"/>
      <c r="D9" s="89"/>
      <c r="E9" s="83"/>
      <c r="F9" s="83"/>
      <c r="G9" s="68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79"/>
      <c r="B10" s="80"/>
      <c r="C10" s="79"/>
      <c r="D10" s="89"/>
      <c r="E10" s="83"/>
      <c r="F10" s="79"/>
      <c r="G10" s="68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79"/>
      <c r="B11" s="80"/>
      <c r="C11" s="79"/>
      <c r="D11" s="89"/>
      <c r="E11" s="83"/>
      <c r="F11" s="79"/>
      <c r="G11" s="68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79"/>
      <c r="B12" s="80"/>
      <c r="C12" s="79"/>
      <c r="D12" s="89"/>
      <c r="E12" s="83"/>
      <c r="F12" s="79"/>
      <c r="G12" s="68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79"/>
      <c r="B13" s="80"/>
      <c r="C13" s="79"/>
      <c r="D13" s="89"/>
      <c r="E13" s="83"/>
      <c r="F13" s="79"/>
      <c r="G13" s="68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79"/>
      <c r="B14" s="80"/>
      <c r="C14" s="79"/>
      <c r="D14" s="89"/>
      <c r="E14" s="83"/>
      <c r="F14" s="79"/>
      <c r="G14" s="68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79"/>
      <c r="B15" s="80"/>
      <c r="C15" s="79"/>
      <c r="D15" s="89"/>
      <c r="E15" s="83"/>
      <c r="F15" s="79"/>
      <c r="G15" s="68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90"/>
      <c r="B16" s="80"/>
      <c r="C16" s="91"/>
      <c r="D16" s="92"/>
      <c r="E16" s="93"/>
      <c r="F16" s="11"/>
      <c r="G16" s="68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90"/>
      <c r="B17" s="80"/>
      <c r="C17" s="91"/>
      <c r="D17" s="92"/>
      <c r="E17" s="93"/>
      <c r="F17" s="11"/>
      <c r="G17" s="68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90"/>
      <c r="B18" s="80"/>
      <c r="C18" s="91"/>
      <c r="D18" s="92"/>
      <c r="E18" s="93"/>
      <c r="F18" s="11"/>
      <c r="G18" s="68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94"/>
      <c r="B19" s="95"/>
      <c r="C19" s="96"/>
      <c r="D19" s="97"/>
      <c r="E19" s="85"/>
      <c r="F19" s="4"/>
      <c r="G19" s="68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98"/>
      <c r="B20" s="95"/>
      <c r="C20" s="96"/>
      <c r="D20" s="97"/>
      <c r="E20" s="85"/>
      <c r="F20" s="4"/>
      <c r="G20" s="68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98"/>
      <c r="B21" s="95"/>
      <c r="C21" s="96"/>
      <c r="D21" s="97"/>
      <c r="E21" s="85"/>
      <c r="F21" s="4"/>
      <c r="G21" s="68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94"/>
      <c r="B22" s="95"/>
      <c r="C22" s="96"/>
      <c r="D22" s="97"/>
      <c r="E22" s="85"/>
      <c r="F22" s="4"/>
      <c r="G22" s="68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98"/>
      <c r="B23" s="95"/>
      <c r="C23" s="25"/>
      <c r="D23" s="84"/>
      <c r="E23" s="85"/>
      <c r="F23" s="4"/>
      <c r="G23" s="68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98"/>
      <c r="B24" s="95"/>
      <c r="C24" s="25"/>
      <c r="D24" s="84"/>
      <c r="E24" s="85"/>
      <c r="F24" s="4"/>
      <c r="G24" s="68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98"/>
      <c r="B25" s="95"/>
      <c r="C25" s="25"/>
      <c r="D25" s="84"/>
      <c r="E25" s="85"/>
      <c r="F25" s="4"/>
      <c r="G25" s="68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98"/>
      <c r="B26" s="25"/>
      <c r="C26" s="25"/>
      <c r="D26" s="84"/>
      <c r="E26" s="85"/>
      <c r="F26" s="4"/>
      <c r="G26" s="68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98"/>
      <c r="B27" s="25"/>
      <c r="C27" s="25"/>
      <c r="D27" s="84"/>
      <c r="E27" s="85"/>
      <c r="F27" s="4"/>
      <c r="G27" s="68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98"/>
      <c r="B28" s="25"/>
      <c r="C28" s="25"/>
      <c r="D28" s="84"/>
      <c r="E28" s="85"/>
      <c r="F28" s="4"/>
      <c r="G28" s="68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84"/>
      <c r="B29" s="25"/>
      <c r="C29" s="25"/>
      <c r="D29" s="25"/>
      <c r="E29" s="85"/>
      <c r="F29" s="4"/>
      <c r="G29" s="68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84"/>
      <c r="B30" s="25"/>
      <c r="C30" s="25"/>
      <c r="D30" s="25"/>
      <c r="E30" s="85"/>
      <c r="F30" s="4"/>
      <c r="G30" s="68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84"/>
      <c r="B31" s="25"/>
      <c r="C31" s="25"/>
      <c r="D31" s="25"/>
      <c r="E31" s="85"/>
      <c r="F31" s="4"/>
      <c r="G31" s="68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84"/>
      <c r="B32" s="25"/>
      <c r="C32" s="25"/>
      <c r="D32" s="25"/>
      <c r="E32" s="85"/>
      <c r="F32" s="4"/>
      <c r="G32" s="68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84"/>
      <c r="B33" s="25"/>
      <c r="C33" s="25"/>
      <c r="D33" s="25"/>
      <c r="E33" s="85"/>
      <c r="F33" s="4"/>
      <c r="G33" s="68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84"/>
      <c r="B34" s="25"/>
      <c r="C34" s="25"/>
      <c r="D34" s="25"/>
      <c r="E34" s="85"/>
      <c r="F34" s="4"/>
      <c r="G34" s="68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84"/>
      <c r="B35" s="25"/>
      <c r="C35" s="25"/>
      <c r="D35" s="25"/>
      <c r="E35" s="85"/>
      <c r="F35" s="4"/>
      <c r="G35" s="68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84"/>
      <c r="B36" s="25"/>
      <c r="C36" s="25"/>
      <c r="D36" s="25"/>
      <c r="E36" s="85"/>
      <c r="F36" s="4"/>
      <c r="G36" s="68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84"/>
      <c r="B37" s="25"/>
      <c r="C37" s="25"/>
      <c r="D37" s="25"/>
      <c r="E37" s="85"/>
      <c r="F37" s="4"/>
      <c r="G37" s="68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85"/>
      <c r="F38" s="4"/>
      <c r="G38" s="68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85"/>
      <c r="F39" s="4"/>
      <c r="G39" s="68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85"/>
      <c r="F40" s="4"/>
      <c r="G40" s="68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85"/>
      <c r="F41" s="4"/>
      <c r="G41" s="68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85"/>
      <c r="F42" s="4"/>
      <c r="G42" s="68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85"/>
      <c r="F43" s="4"/>
      <c r="G43" s="68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85"/>
      <c r="F44" s="4"/>
      <c r="G44" s="68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85"/>
      <c r="F45" s="4"/>
      <c r="G45" s="68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85"/>
      <c r="F46" s="4"/>
      <c r="G46" s="68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85"/>
      <c r="F47" s="4"/>
      <c r="G47" s="68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85"/>
      <c r="F48" s="4"/>
      <c r="G48" s="68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85"/>
      <c r="F49" s="4"/>
      <c r="G49" s="68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85"/>
      <c r="F50" s="4"/>
      <c r="G50" s="68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85"/>
      <c r="F51" s="4"/>
      <c r="G51" s="68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85"/>
      <c r="F52" s="4"/>
      <c r="G52" s="68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85"/>
      <c r="F53" s="4"/>
      <c r="G53" s="68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85"/>
      <c r="F54" s="4"/>
      <c r="G54" s="68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85"/>
      <c r="F55" s="4"/>
      <c r="G55" s="68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85"/>
      <c r="F56" s="4"/>
      <c r="G56" s="68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85"/>
      <c r="F57" s="4"/>
      <c r="G57" s="68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85"/>
      <c r="F58" s="4"/>
      <c r="G58" s="68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85"/>
      <c r="F59" s="4"/>
      <c r="G59" s="68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85"/>
      <c r="F60" s="4"/>
      <c r="G60" s="68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85"/>
      <c r="F61" s="4"/>
      <c r="G61" s="68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85"/>
      <c r="F62" s="4"/>
      <c r="G62" s="68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85"/>
      <c r="F63" s="4"/>
      <c r="G63" s="68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85"/>
      <c r="F64" s="4"/>
      <c r="G64" s="68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85"/>
      <c r="F65" s="4"/>
      <c r="G65" s="68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85"/>
      <c r="F66" s="4"/>
      <c r="G66" s="68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85"/>
      <c r="F67" s="4"/>
      <c r="G67" s="68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85"/>
      <c r="F68" s="4"/>
      <c r="G68" s="68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85"/>
      <c r="F69" s="4"/>
      <c r="G69" s="68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85"/>
      <c r="F70" s="4"/>
      <c r="G70" s="68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85"/>
      <c r="F71" s="4"/>
      <c r="G71" s="68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85"/>
      <c r="F72" s="4"/>
      <c r="G72" s="68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85"/>
      <c r="F73" s="4"/>
      <c r="G73" s="68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85"/>
      <c r="F74" s="4"/>
      <c r="G74" s="68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85"/>
      <c r="F75" s="4"/>
      <c r="G75" s="68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85"/>
      <c r="F76" s="4"/>
      <c r="G76" s="68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85"/>
      <c r="F77" s="4"/>
      <c r="G77" s="68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85"/>
      <c r="F78" s="4"/>
      <c r="G78" s="68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85"/>
      <c r="F79" s="4"/>
      <c r="G79" s="68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85"/>
      <c r="F80" s="4"/>
      <c r="G80" s="68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85"/>
      <c r="F81" s="4"/>
      <c r="G81" s="68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85"/>
      <c r="F82" s="4"/>
      <c r="G82" s="68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85"/>
      <c r="F83" s="4"/>
      <c r="G83" s="68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85"/>
      <c r="F84" s="4"/>
      <c r="G84" s="68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85"/>
      <c r="F85" s="4"/>
      <c r="G85" s="68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85"/>
      <c r="F86" s="4"/>
      <c r="G86" s="68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85"/>
      <c r="F87" s="4"/>
      <c r="G87" s="68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85"/>
      <c r="F88" s="4"/>
      <c r="G88" s="68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85"/>
      <c r="F89" s="4"/>
      <c r="G89" s="68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85"/>
      <c r="F90" s="4"/>
      <c r="G90" s="68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85"/>
      <c r="F91" s="4"/>
      <c r="G91" s="68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85"/>
      <c r="F92" s="4"/>
      <c r="G92" s="68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85"/>
      <c r="F93" s="4"/>
      <c r="G93" s="68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85"/>
      <c r="F94" s="4"/>
      <c r="G94" s="68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85"/>
      <c r="F95" s="4"/>
      <c r="G95" s="68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85"/>
      <c r="F96" s="4"/>
      <c r="G96" s="68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85"/>
      <c r="F97" s="4"/>
      <c r="G97" s="68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85"/>
      <c r="F98" s="4"/>
      <c r="G98" s="68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85"/>
      <c r="F99" s="4"/>
      <c r="G99" s="68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85"/>
      <c r="F100" s="4"/>
      <c r="G100" s="68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85"/>
      <c r="F101" s="4"/>
      <c r="G101" s="68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85"/>
      <c r="F102" s="4"/>
      <c r="G102" s="68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85"/>
      <c r="F103" s="4"/>
      <c r="G103" s="68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85"/>
      <c r="F104" s="4"/>
      <c r="G104" s="68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85"/>
      <c r="F105" s="4"/>
      <c r="G105" s="68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85"/>
      <c r="F106" s="4"/>
      <c r="G106" s="68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85"/>
      <c r="F107" s="4"/>
      <c r="G107" s="68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85"/>
      <c r="F108" s="4"/>
      <c r="G108" s="68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85"/>
      <c r="F109" s="4"/>
      <c r="G109" s="68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85"/>
      <c r="F110" s="4"/>
      <c r="G110" s="68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85"/>
      <c r="F111" s="4"/>
      <c r="G111" s="68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85"/>
      <c r="F112" s="4"/>
      <c r="G112" s="68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85"/>
      <c r="F113" s="4"/>
      <c r="G113" s="68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85"/>
      <c r="F114" s="4"/>
      <c r="G114" s="68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85"/>
      <c r="F115" s="4"/>
      <c r="G115" s="68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85"/>
      <c r="F116" s="4"/>
      <c r="G116" s="68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85"/>
      <c r="F117" s="4"/>
      <c r="G117" s="68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85"/>
      <c r="F118" s="4"/>
      <c r="G118" s="68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85"/>
      <c r="F119" s="4"/>
      <c r="G119" s="68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85"/>
      <c r="F120" s="4"/>
      <c r="G120" s="68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85"/>
      <c r="F121" s="4"/>
      <c r="G121" s="68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85"/>
      <c r="F122" s="4"/>
      <c r="G122" s="68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85"/>
      <c r="F123" s="4"/>
      <c r="G123" s="68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85"/>
      <c r="F124" s="4"/>
      <c r="G124" s="68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85"/>
      <c r="F125" s="4"/>
      <c r="G125" s="68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85"/>
      <c r="F126" s="4"/>
      <c r="G126" s="68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85"/>
      <c r="F127" s="4"/>
      <c r="G127" s="68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85"/>
      <c r="F128" s="4"/>
      <c r="G128" s="68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85"/>
      <c r="F129" s="4"/>
      <c r="G129" s="68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85"/>
      <c r="F130" s="4"/>
      <c r="G130" s="68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85"/>
      <c r="F131" s="4"/>
      <c r="G131" s="68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85"/>
      <c r="F132" s="4"/>
      <c r="G132" s="68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85"/>
      <c r="F133" s="4"/>
      <c r="G133" s="68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85"/>
      <c r="F134" s="4"/>
      <c r="G134" s="68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85"/>
      <c r="F135" s="4"/>
      <c r="G135" s="68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85"/>
      <c r="F136" s="4"/>
      <c r="G136" s="68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85"/>
      <c r="F137" s="4"/>
      <c r="G137" s="68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85"/>
      <c r="F138" s="4"/>
      <c r="G138" s="68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85"/>
      <c r="F139" s="4"/>
      <c r="G139" s="68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85"/>
      <c r="F140" s="4"/>
      <c r="G140" s="68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85"/>
      <c r="F141" s="4"/>
      <c r="G141" s="68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85"/>
      <c r="F142" s="4"/>
      <c r="G142" s="68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85"/>
      <c r="F143" s="4"/>
      <c r="G143" s="68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85"/>
      <c r="F144" s="4"/>
      <c r="G144" s="68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68"/>
      <c r="G145" s="68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68"/>
      <c r="G146" s="68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68"/>
      <c r="G147" s="68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68"/>
      <c r="G148" s="68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68"/>
      <c r="G149" s="68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68"/>
      <c r="G150" s="68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68"/>
      <c r="G151" s="68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68"/>
      <c r="G152" s="68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68"/>
      <c r="G153" s="68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68"/>
      <c r="G154" s="68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68"/>
      <c r="G155" s="68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68"/>
      <c r="G156" s="68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68"/>
      <c r="G157" s="68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68"/>
      <c r="G158" s="68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68"/>
      <c r="G159" s="68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68"/>
      <c r="G160" s="68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68"/>
      <c r="G161" s="68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68"/>
      <c r="G162" s="68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68"/>
      <c r="G163" s="68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68"/>
      <c r="G164" s="68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68"/>
      <c r="G165" s="68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68"/>
      <c r="G166" s="68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68"/>
      <c r="G167" s="68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68"/>
      <c r="G168" s="68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68"/>
      <c r="G169" s="68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68"/>
      <c r="G170" s="68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68"/>
      <c r="G171" s="68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68"/>
      <c r="G172" s="68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68"/>
      <c r="G173" s="68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68"/>
      <c r="G174" s="68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68"/>
      <c r="G175" s="68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68"/>
      <c r="G176" s="68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68"/>
      <c r="G177" s="68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68"/>
      <c r="G178" s="68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68"/>
      <c r="G179" s="68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68"/>
      <c r="G180" s="68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68"/>
      <c r="G181" s="68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68"/>
      <c r="G182" s="68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68"/>
      <c r="G183" s="68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68"/>
      <c r="G184" s="68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68"/>
      <c r="G185" s="68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68"/>
      <c r="G186" s="68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68"/>
      <c r="G187" s="68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68"/>
      <c r="G188" s="68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68"/>
      <c r="G189" s="68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68"/>
      <c r="G190" s="68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68"/>
      <c r="G191" s="68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68"/>
      <c r="G192" s="68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68"/>
      <c r="G193" s="68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68"/>
      <c r="G194" s="68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68"/>
      <c r="G195" s="68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68"/>
      <c r="G196" s="68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68"/>
      <c r="G197" s="68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68"/>
      <c r="G198" s="68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68"/>
      <c r="G199" s="68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68"/>
      <c r="G200" s="68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68"/>
      <c r="G201" s="68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68"/>
      <c r="G202" s="68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68"/>
      <c r="G203" s="68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68"/>
      <c r="G204" s="68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68"/>
      <c r="G205" s="68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68"/>
      <c r="G206" s="68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68"/>
      <c r="G207" s="68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68"/>
      <c r="G208" s="68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68"/>
      <c r="G209" s="68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68"/>
      <c r="G210" s="68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68"/>
      <c r="G211" s="68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68"/>
      <c r="G212" s="68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6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6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6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6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6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6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6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6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6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6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6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6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6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6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6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6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6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6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6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6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6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6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6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6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6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6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6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6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6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6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6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6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6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6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6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6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6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6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6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6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6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6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6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6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6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6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6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6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6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6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6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6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6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6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6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6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6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6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6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6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6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6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6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6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6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6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6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6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6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6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6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6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6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6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6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6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6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6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6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6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6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6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6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6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6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6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6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6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6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6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6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6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6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6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6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6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6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6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6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6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6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6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6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6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6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6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6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6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6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6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6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6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6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6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6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6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6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6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6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6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6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6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6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6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6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6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6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6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6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6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6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6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6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6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6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6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6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6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6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6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6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6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6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6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6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6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6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6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6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6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6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6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6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6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6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6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6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6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6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6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6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6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6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6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6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6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6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6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6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6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6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6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6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6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6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6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6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6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6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6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6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6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6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6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6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6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6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6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6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6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6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6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6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6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6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6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6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6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6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6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6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6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6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6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6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6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6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6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6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6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6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6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6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6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6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6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6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6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6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6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6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6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6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6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6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6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6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6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6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6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6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6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6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6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6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6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6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6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6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6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6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6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6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6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6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6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6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6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6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6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6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6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6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6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6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6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6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6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6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6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6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6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6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6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6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6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6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6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6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6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6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6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6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6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6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6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6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6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6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6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6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6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6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6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6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6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6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6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6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6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6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6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6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6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6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6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6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6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6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6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6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6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6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6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6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6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6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6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6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6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6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6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6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6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6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6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6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6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6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6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6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6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6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6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6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6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6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6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6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6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6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6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6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6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6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6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6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6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6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6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6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6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6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6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6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6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6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6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6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6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6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6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6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6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6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6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6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6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6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6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6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6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6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6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6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6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6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6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6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6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6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6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6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6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6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6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6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6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6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6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6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6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6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6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6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6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6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6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6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6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6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6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6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6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6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6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6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6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6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6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6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6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6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6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6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6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6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6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6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6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6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6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6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6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6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6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6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6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6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6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6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6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6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6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6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6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6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6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6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6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6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6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6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6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6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6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6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6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6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6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6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6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6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6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6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6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6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6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6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6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6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6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6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6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6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6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6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6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6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6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6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6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6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6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6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6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6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6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6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6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6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6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6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6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6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6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6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6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6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6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6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6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6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6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6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6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6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6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6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6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6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6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6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6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6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6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6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6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6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6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6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6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6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6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6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6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6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6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6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6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6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6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6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6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6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6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6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6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6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6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6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6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6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6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6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6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6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6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6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6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6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6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6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6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6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6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6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6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6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6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6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6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6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6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6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6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6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6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6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6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6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6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6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6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6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6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6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6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6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6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6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6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6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6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6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6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6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6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6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6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6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6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6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6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6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6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6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6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6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6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6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6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6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6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6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6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6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6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6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6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6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6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6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6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6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6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6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6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6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6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6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6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6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6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6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6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6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6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6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6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6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6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6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6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6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6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6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6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6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6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6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6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6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6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6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6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6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6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6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6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6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6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6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6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6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6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6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6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6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6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6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6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6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6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6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6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6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6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6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6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6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6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6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6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6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6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6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6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6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6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6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6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6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6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6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6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6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6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6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6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6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6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6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6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6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6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6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6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6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6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6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6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6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6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6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6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6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6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6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6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6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6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6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6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6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6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6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6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6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6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6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6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6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6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6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6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6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6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6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6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6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6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6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6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6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6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6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6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6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6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6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6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6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6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6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6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6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6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6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6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6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6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6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6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6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6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6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6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6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6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6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6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6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6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6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6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6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6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6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6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6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6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6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6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6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6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6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6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6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86"/>
      <c r="V971" s="86"/>
      <c r="W971" s="86"/>
      <c r="X971" s="86"/>
      <c r="Y971" s="86"/>
      <c r="Z971" s="86"/>
    </row>
    <row r="972">
      <c r="A972" s="4"/>
      <c r="B972" s="4"/>
      <c r="C972" s="4"/>
      <c r="D972" s="4"/>
      <c r="E972" s="4"/>
      <c r="F972" s="4"/>
      <c r="G972" s="4"/>
      <c r="H972" s="6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86"/>
      <c r="V972" s="86"/>
      <c r="W972" s="86"/>
      <c r="X972" s="86"/>
      <c r="Y972" s="86"/>
      <c r="Z972" s="86"/>
    </row>
    <row r="973">
      <c r="A973" s="4"/>
      <c r="B973" s="4"/>
      <c r="C973" s="4"/>
      <c r="D973" s="4"/>
      <c r="E973" s="4"/>
      <c r="F973" s="4"/>
      <c r="G973" s="4"/>
      <c r="H973" s="6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86"/>
      <c r="V973" s="86"/>
      <c r="W973" s="86"/>
      <c r="X973" s="86"/>
      <c r="Y973" s="86"/>
      <c r="Z973" s="86"/>
    </row>
    <row r="974">
      <c r="A974" s="4"/>
      <c r="B974" s="4"/>
      <c r="C974" s="4"/>
      <c r="D974" s="4"/>
      <c r="E974" s="4"/>
      <c r="F974" s="4"/>
      <c r="G974" s="4"/>
      <c r="H974" s="6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86"/>
      <c r="V974" s="86"/>
      <c r="W974" s="86"/>
      <c r="X974" s="86"/>
      <c r="Y974" s="86"/>
      <c r="Z974" s="86"/>
    </row>
    <row r="975">
      <c r="A975" s="4"/>
      <c r="B975" s="4"/>
      <c r="C975" s="4"/>
      <c r="D975" s="4"/>
      <c r="E975" s="4"/>
      <c r="F975" s="4"/>
      <c r="G975" s="4"/>
      <c r="H975" s="6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86"/>
      <c r="V975" s="86"/>
      <c r="W975" s="86"/>
      <c r="X975" s="86"/>
      <c r="Y975" s="86"/>
      <c r="Z975" s="86"/>
    </row>
    <row r="976">
      <c r="A976" s="4"/>
      <c r="B976" s="4"/>
      <c r="C976" s="4"/>
      <c r="D976" s="4"/>
      <c r="E976" s="4"/>
      <c r="F976" s="4"/>
      <c r="G976" s="4"/>
      <c r="H976" s="6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86"/>
      <c r="V976" s="86"/>
      <c r="W976" s="86"/>
      <c r="X976" s="86"/>
      <c r="Y976" s="86"/>
      <c r="Z976" s="86"/>
    </row>
    <row r="977">
      <c r="A977" s="4"/>
      <c r="B977" s="4"/>
      <c r="C977" s="4"/>
      <c r="D977" s="4"/>
      <c r="E977" s="4"/>
      <c r="F977" s="4"/>
      <c r="G977" s="4"/>
      <c r="H977" s="6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86"/>
      <c r="V977" s="86"/>
      <c r="W977" s="86"/>
      <c r="X977" s="86"/>
      <c r="Y977" s="86"/>
      <c r="Z977" s="86"/>
    </row>
    <row r="978">
      <c r="A978" s="4"/>
      <c r="B978" s="4"/>
      <c r="C978" s="4"/>
      <c r="D978" s="4"/>
      <c r="E978" s="4"/>
      <c r="F978" s="4"/>
      <c r="G978" s="4"/>
      <c r="H978" s="6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86"/>
      <c r="V978" s="86"/>
      <c r="W978" s="86"/>
      <c r="X978" s="86"/>
      <c r="Y978" s="86"/>
      <c r="Z978" s="86"/>
    </row>
    <row r="979">
      <c r="A979" s="4"/>
      <c r="B979" s="4"/>
      <c r="C979" s="4"/>
      <c r="D979" s="4"/>
      <c r="E979" s="4"/>
      <c r="F979" s="4"/>
      <c r="G979" s="4"/>
      <c r="H979" s="6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86"/>
      <c r="V979" s="86"/>
      <c r="W979" s="86"/>
      <c r="X979" s="86"/>
      <c r="Y979" s="86"/>
      <c r="Z979" s="86"/>
    </row>
    <row r="980">
      <c r="A980" s="4"/>
      <c r="B980" s="4"/>
      <c r="C980" s="4"/>
      <c r="D980" s="4"/>
      <c r="E980" s="4"/>
      <c r="F980" s="4"/>
      <c r="G980" s="4"/>
      <c r="H980" s="6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86"/>
      <c r="V980" s="86"/>
      <c r="W980" s="86"/>
      <c r="X980" s="86"/>
      <c r="Y980" s="86"/>
      <c r="Z980" s="86"/>
    </row>
    <row r="981">
      <c r="A981" s="4"/>
      <c r="B981" s="4"/>
      <c r="C981" s="4"/>
      <c r="D981" s="4"/>
      <c r="E981" s="4"/>
      <c r="F981" s="4"/>
      <c r="G981" s="4"/>
      <c r="H981" s="6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86"/>
      <c r="V981" s="86"/>
      <c r="W981" s="86"/>
      <c r="X981" s="86"/>
      <c r="Y981" s="86"/>
      <c r="Z981" s="86"/>
    </row>
    <row r="982">
      <c r="A982" s="4"/>
      <c r="B982" s="4"/>
      <c r="C982" s="4"/>
      <c r="D982" s="4"/>
      <c r="E982" s="4"/>
      <c r="F982" s="4"/>
      <c r="G982" s="4"/>
      <c r="H982" s="6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86"/>
      <c r="V982" s="86"/>
      <c r="W982" s="86"/>
      <c r="X982" s="86"/>
      <c r="Y982" s="86"/>
      <c r="Z982" s="86"/>
    </row>
    <row r="983">
      <c r="A983" s="4"/>
      <c r="B983" s="4"/>
      <c r="C983" s="4"/>
      <c r="D983" s="4"/>
      <c r="E983" s="4"/>
      <c r="F983" s="4"/>
      <c r="G983" s="4"/>
      <c r="H983" s="6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86"/>
      <c r="V983" s="86"/>
      <c r="W983" s="86"/>
      <c r="X983" s="86"/>
      <c r="Y983" s="86"/>
      <c r="Z983" s="86"/>
    </row>
    <row r="984">
      <c r="A984" s="4"/>
      <c r="B984" s="4"/>
      <c r="C984" s="4"/>
      <c r="D984" s="4"/>
      <c r="E984" s="4"/>
      <c r="F984" s="4"/>
      <c r="G984" s="4"/>
      <c r="H984" s="6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86"/>
      <c r="V984" s="86"/>
      <c r="W984" s="86"/>
      <c r="X984" s="86"/>
      <c r="Y984" s="86"/>
      <c r="Z984" s="86"/>
    </row>
    <row r="985">
      <c r="A985" s="4"/>
      <c r="B985" s="4"/>
      <c r="C985" s="4"/>
      <c r="D985" s="4"/>
      <c r="E985" s="4"/>
      <c r="F985" s="4"/>
      <c r="G985" s="4"/>
      <c r="H985" s="6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86"/>
      <c r="V985" s="86"/>
      <c r="W985" s="86"/>
      <c r="X985" s="86"/>
      <c r="Y985" s="86"/>
      <c r="Z985" s="86"/>
    </row>
    <row r="986">
      <c r="A986" s="4"/>
      <c r="B986" s="4"/>
      <c r="C986" s="4"/>
      <c r="D986" s="4"/>
      <c r="E986" s="4"/>
      <c r="F986" s="4"/>
      <c r="G986" s="4"/>
      <c r="H986" s="6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86"/>
      <c r="V986" s="86"/>
      <c r="W986" s="86"/>
      <c r="X986" s="86"/>
      <c r="Y986" s="86"/>
      <c r="Z986" s="86"/>
    </row>
    <row r="987">
      <c r="A987" s="4"/>
      <c r="B987" s="4"/>
      <c r="C987" s="4"/>
      <c r="D987" s="4"/>
      <c r="E987" s="4"/>
      <c r="F987" s="4"/>
      <c r="G987" s="4"/>
      <c r="H987" s="6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86"/>
      <c r="V987" s="86"/>
      <c r="W987" s="86"/>
      <c r="X987" s="86"/>
      <c r="Y987" s="86"/>
      <c r="Z987" s="86"/>
    </row>
    <row r="988">
      <c r="A988" s="4"/>
      <c r="B988" s="4"/>
      <c r="C988" s="4"/>
      <c r="D988" s="4"/>
      <c r="E988" s="4"/>
      <c r="F988" s="4"/>
      <c r="G988" s="4"/>
      <c r="H988" s="6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86"/>
      <c r="V988" s="86"/>
      <c r="W988" s="86"/>
      <c r="X988" s="86"/>
      <c r="Y988" s="86"/>
      <c r="Z988" s="86"/>
    </row>
    <row r="989">
      <c r="A989" s="4"/>
      <c r="B989" s="4"/>
      <c r="C989" s="4"/>
      <c r="D989" s="4"/>
      <c r="E989" s="4"/>
      <c r="F989" s="4"/>
      <c r="G989" s="4"/>
      <c r="H989" s="6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86"/>
      <c r="V989" s="86"/>
      <c r="W989" s="86"/>
      <c r="X989" s="86"/>
      <c r="Y989" s="86"/>
      <c r="Z989" s="86"/>
    </row>
    <row r="990">
      <c r="A990" s="4"/>
      <c r="B990" s="4"/>
      <c r="C990" s="4"/>
      <c r="D990" s="4"/>
      <c r="E990" s="4"/>
      <c r="F990" s="4"/>
      <c r="G990" s="4"/>
      <c r="H990" s="6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86"/>
      <c r="V990" s="86"/>
      <c r="W990" s="86"/>
      <c r="X990" s="86"/>
      <c r="Y990" s="86"/>
      <c r="Z990" s="86"/>
    </row>
    <row r="991">
      <c r="A991" s="4"/>
      <c r="B991" s="4"/>
      <c r="C991" s="4"/>
      <c r="D991" s="4"/>
      <c r="E991" s="4"/>
      <c r="F991" s="4"/>
      <c r="G991" s="4"/>
      <c r="H991" s="6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86"/>
      <c r="V991" s="86"/>
      <c r="W991" s="86"/>
      <c r="X991" s="86"/>
      <c r="Y991" s="86"/>
      <c r="Z991" s="86"/>
    </row>
    <row r="992">
      <c r="A992" s="4"/>
      <c r="B992" s="4"/>
      <c r="C992" s="4"/>
      <c r="D992" s="4"/>
      <c r="E992" s="4"/>
      <c r="F992" s="4"/>
      <c r="G992" s="4"/>
      <c r="H992" s="6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86"/>
      <c r="V992" s="86"/>
      <c r="W992" s="86"/>
      <c r="X992" s="86"/>
      <c r="Y992" s="86"/>
      <c r="Z992" s="86"/>
    </row>
    <row r="993">
      <c r="A993" s="4"/>
      <c r="B993" s="4"/>
      <c r="C993" s="4"/>
      <c r="D993" s="4"/>
      <c r="E993" s="4"/>
      <c r="F993" s="4"/>
      <c r="G993" s="4"/>
      <c r="H993" s="68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86"/>
      <c r="V993" s="86"/>
      <c r="W993" s="86"/>
      <c r="X993" s="86"/>
      <c r="Y993" s="86"/>
      <c r="Z993" s="86"/>
    </row>
    <row r="994">
      <c r="A994" s="4"/>
      <c r="B994" s="4"/>
      <c r="C994" s="4"/>
      <c r="D994" s="4"/>
      <c r="E994" s="4"/>
      <c r="F994" s="4"/>
      <c r="G994" s="4"/>
      <c r="H994" s="68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86"/>
      <c r="V994" s="86"/>
      <c r="W994" s="86"/>
      <c r="X994" s="86"/>
      <c r="Y994" s="86"/>
      <c r="Z994" s="86"/>
    </row>
    <row r="995">
      <c r="A995" s="4"/>
      <c r="B995" s="4"/>
      <c r="C995" s="4"/>
      <c r="D995" s="4"/>
      <c r="E995" s="4"/>
      <c r="F995" s="4"/>
      <c r="G995" s="4"/>
      <c r="H995" s="87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86"/>
      <c r="V995" s="86"/>
      <c r="W995" s="86"/>
      <c r="X995" s="86"/>
      <c r="Y995" s="86"/>
      <c r="Z995" s="86"/>
    </row>
    <row r="996">
      <c r="A996" s="4"/>
      <c r="B996" s="4"/>
      <c r="C996" s="4"/>
      <c r="D996" s="4"/>
      <c r="E996" s="4"/>
      <c r="F996" s="4"/>
      <c r="G996" s="4"/>
      <c r="H996" s="87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86"/>
      <c r="V996" s="86"/>
      <c r="W996" s="86"/>
      <c r="X996" s="86"/>
      <c r="Y996" s="86"/>
      <c r="Z996" s="86"/>
    </row>
    <row r="997">
      <c r="A997" s="4"/>
      <c r="B997" s="4"/>
      <c r="C997" s="4"/>
      <c r="D997" s="4"/>
      <c r="E997" s="4"/>
      <c r="F997" s="4"/>
      <c r="G997" s="4"/>
      <c r="H997" s="87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86"/>
      <c r="V997" s="86"/>
      <c r="W997" s="86"/>
      <c r="X997" s="86"/>
      <c r="Y997" s="86"/>
      <c r="Z997" s="86"/>
    </row>
    <row r="998">
      <c r="A998" s="4"/>
      <c r="B998" s="4"/>
      <c r="C998" s="4"/>
      <c r="D998" s="4"/>
      <c r="E998" s="4"/>
      <c r="F998" s="4"/>
      <c r="G998" s="4"/>
      <c r="H998" s="87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86"/>
      <c r="V998" s="86"/>
      <c r="W998" s="86"/>
      <c r="X998" s="86"/>
      <c r="Y998" s="86"/>
      <c r="Z998" s="86"/>
    </row>
    <row r="999">
      <c r="A999" s="4"/>
      <c r="B999" s="4"/>
      <c r="C999" s="4"/>
      <c r="D999" s="4"/>
      <c r="E999" s="4"/>
      <c r="F999" s="4"/>
      <c r="G999" s="4"/>
      <c r="H999" s="87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86"/>
      <c r="V999" s="86"/>
      <c r="W999" s="86"/>
      <c r="X999" s="86"/>
      <c r="Y999" s="86"/>
      <c r="Z999" s="86"/>
    </row>
    <row r="1000">
      <c r="A1000" s="4"/>
      <c r="B1000" s="4"/>
      <c r="C1000" s="4"/>
      <c r="D1000" s="4"/>
      <c r="E1000" s="4"/>
      <c r="F1000" s="4"/>
      <c r="G1000" s="4"/>
      <c r="H1000" s="87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86"/>
      <c r="V1000" s="86"/>
      <c r="W1000" s="86"/>
      <c r="X1000" s="86"/>
      <c r="Y1000" s="86"/>
      <c r="Z1000" s="86"/>
    </row>
    <row r="1001">
      <c r="A1001" s="4"/>
      <c r="B1001" s="4"/>
      <c r="C1001" s="4"/>
      <c r="D1001" s="4"/>
      <c r="E1001" s="4"/>
      <c r="F1001" s="4"/>
      <c r="G1001" s="4"/>
      <c r="H1001" s="87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86"/>
      <c r="V1001" s="86"/>
      <c r="W1001" s="86"/>
      <c r="X1001" s="86"/>
      <c r="Y1001" s="86"/>
      <c r="Z1001" s="86"/>
    </row>
    <row r="1002">
      <c r="A1002" s="4"/>
      <c r="B1002" s="4"/>
      <c r="C1002" s="4"/>
      <c r="D1002" s="4"/>
      <c r="E1002" s="4"/>
      <c r="F1002" s="4"/>
      <c r="G1002" s="4"/>
      <c r="H1002" s="87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86"/>
      <c r="V1002" s="86"/>
      <c r="W1002" s="86"/>
      <c r="X1002" s="86"/>
      <c r="Y1002" s="86"/>
      <c r="Z1002" s="86"/>
    </row>
    <row r="1003">
      <c r="A1003" s="4"/>
      <c r="B1003" s="4"/>
      <c r="C1003" s="4"/>
      <c r="D1003" s="4"/>
      <c r="E1003" s="4"/>
      <c r="F1003" s="4"/>
      <c r="G1003" s="4"/>
      <c r="H1003" s="87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86"/>
      <c r="V1003" s="86"/>
      <c r="W1003" s="86"/>
      <c r="X1003" s="86"/>
      <c r="Y1003" s="86"/>
      <c r="Z1003" s="86"/>
    </row>
    <row r="1004">
      <c r="A1004" s="4"/>
      <c r="B1004" s="4"/>
      <c r="C1004" s="4"/>
      <c r="D1004" s="4"/>
      <c r="E1004" s="4"/>
      <c r="F1004" s="4"/>
      <c r="G1004" s="4"/>
      <c r="H1004" s="87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86"/>
      <c r="V1004" s="86"/>
      <c r="W1004" s="86"/>
      <c r="X1004" s="86"/>
      <c r="Y1004" s="86"/>
      <c r="Z1004" s="86"/>
    </row>
    <row r="1005">
      <c r="A1005" s="4"/>
      <c r="B1005" s="4"/>
      <c r="C1005" s="4"/>
      <c r="D1005" s="4"/>
      <c r="E1005" s="4"/>
      <c r="F1005" s="4"/>
      <c r="G1005" s="4"/>
      <c r="H1005" s="87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86"/>
      <c r="V1005" s="86"/>
      <c r="W1005" s="86"/>
      <c r="X1005" s="86"/>
      <c r="Y1005" s="86"/>
      <c r="Z1005" s="86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61" t="s">
        <v>25</v>
      </c>
      <c r="C1" s="62" t="s">
        <v>26</v>
      </c>
      <c r="D1" s="63" t="s">
        <v>20</v>
      </c>
      <c r="E1" s="64" t="s">
        <v>21</v>
      </c>
      <c r="F1" s="65" t="s">
        <v>22</v>
      </c>
      <c r="G1" s="66" t="s">
        <v>23</v>
      </c>
      <c r="H1" s="67" t="s">
        <v>24</v>
      </c>
      <c r="I1" s="6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1" t="s">
        <v>27</v>
      </c>
      <c r="B2" s="69">
        <f>SUM(G7:G962)</f>
        <v>0</v>
      </c>
      <c r="C2" s="70">
        <f>SUMIF(F8:F960,"MÉDIA MULTI-ANNONCEURS",G8:G960)</f>
        <v>0</v>
      </c>
      <c r="D2" s="71">
        <f>SUMIF(F8:F960,"PROMOTIONNEL",G8:G960)</f>
        <v>0</v>
      </c>
      <c r="E2" s="72">
        <f>SUMIF(F8:F960,"DIST. PUBLICITAIRE SOLO",G8:G960)</f>
        <v>0</v>
      </c>
      <c r="F2" s="73">
        <f>SUMIF(F8:F960,"AGENCE PUB",G8:G960)</f>
        <v>0</v>
      </c>
      <c r="G2" s="74">
        <f>SUMIF(F8:F960,"AGENCE WEB",G8:G960)</f>
        <v>0</v>
      </c>
      <c r="H2" s="75">
        <f>SUMIF(F8:F960,"SERVICES IA",G8:G960)</f>
        <v>0</v>
      </c>
      <c r="I2" s="6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6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1" t="s">
        <v>28</v>
      </c>
      <c r="B4" s="69">
        <f>SUM(B8:B962)</f>
        <v>0</v>
      </c>
      <c r="C4" s="70">
        <f>SUMIF(F8:F960,"MÉDIA MULTI-ANNONCEURS",B8:B960)</f>
        <v>0</v>
      </c>
      <c r="D4" s="71">
        <f>SUMIF(F8:F960,"PROMOTIONNEL",B8:B960)</f>
        <v>0</v>
      </c>
      <c r="E4" s="72">
        <f>SUMIF(F8:F960,"DIST. PUBLICITAIRE SOLO",B8:B960)</f>
        <v>0</v>
      </c>
      <c r="F4" s="73">
        <f>SUMIF(F8:F960,"AGENCE PUB",B8:B960)</f>
        <v>0</v>
      </c>
      <c r="G4" s="74">
        <f>SUMIF(F8:F960,"AGENCE WEB",B8:B960)</f>
        <v>0</v>
      </c>
      <c r="H4" s="75">
        <f>SUMIF(F8:F960,"SERVICES IA",B8:B960)</f>
        <v>0</v>
      </c>
      <c r="I4" s="6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6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68"/>
      <c r="C6" s="68"/>
      <c r="D6" s="68"/>
      <c r="E6" s="68"/>
      <c r="F6" s="68"/>
      <c r="G6" s="68"/>
      <c r="H6" s="4"/>
      <c r="I6" s="6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1" t="s">
        <v>29</v>
      </c>
      <c r="B7" s="76" t="s">
        <v>30</v>
      </c>
      <c r="C7" s="77" t="s">
        <v>31</v>
      </c>
      <c r="D7" s="77" t="s">
        <v>32</v>
      </c>
      <c r="E7" s="76" t="s">
        <v>33</v>
      </c>
      <c r="F7" s="78" t="s">
        <v>34</v>
      </c>
      <c r="G7" s="78" t="s">
        <v>35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9"/>
      <c r="B8" s="80"/>
      <c r="C8" s="81"/>
      <c r="D8" s="82"/>
      <c r="E8" s="83"/>
      <c r="F8" s="79"/>
      <c r="G8" s="68">
        <f t="shared" ref="G8:G166" si="1">B8*0.1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79"/>
      <c r="B9" s="80"/>
      <c r="C9" s="79"/>
      <c r="D9" s="89"/>
      <c r="E9" s="83"/>
      <c r="F9" s="83"/>
      <c r="G9" s="68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79"/>
      <c r="B10" s="80"/>
      <c r="C10" s="79"/>
      <c r="D10" s="89"/>
      <c r="E10" s="83"/>
      <c r="F10" s="79"/>
      <c r="G10" s="68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79"/>
      <c r="B11" s="80"/>
      <c r="C11" s="79"/>
      <c r="D11" s="89"/>
      <c r="E11" s="83"/>
      <c r="F11" s="79"/>
      <c r="G11" s="68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79"/>
      <c r="B12" s="80"/>
      <c r="C12" s="79"/>
      <c r="D12" s="89"/>
      <c r="E12" s="83"/>
      <c r="F12" s="79"/>
      <c r="G12" s="68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79"/>
      <c r="B13" s="80"/>
      <c r="C13" s="79"/>
      <c r="D13" s="89"/>
      <c r="E13" s="83"/>
      <c r="F13" s="79"/>
      <c r="G13" s="68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79"/>
      <c r="B14" s="80"/>
      <c r="C14" s="79"/>
      <c r="D14" s="89"/>
      <c r="E14" s="83"/>
      <c r="F14" s="79"/>
      <c r="G14" s="68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79"/>
      <c r="B15" s="80"/>
      <c r="C15" s="79"/>
      <c r="D15" s="89"/>
      <c r="E15" s="83"/>
      <c r="F15" s="79"/>
      <c r="G15" s="68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90"/>
      <c r="B16" s="80"/>
      <c r="C16" s="91"/>
      <c r="D16" s="92"/>
      <c r="E16" s="93"/>
      <c r="F16" s="11"/>
      <c r="G16" s="68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90"/>
      <c r="B17" s="80"/>
      <c r="C17" s="91"/>
      <c r="D17" s="92"/>
      <c r="E17" s="93"/>
      <c r="F17" s="11"/>
      <c r="G17" s="68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90"/>
      <c r="B18" s="80"/>
      <c r="C18" s="91"/>
      <c r="D18" s="92"/>
      <c r="E18" s="93"/>
      <c r="F18" s="11"/>
      <c r="G18" s="68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94"/>
      <c r="B19" s="95"/>
      <c r="C19" s="96"/>
      <c r="D19" s="97"/>
      <c r="E19" s="85"/>
      <c r="F19" s="4"/>
      <c r="G19" s="68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98"/>
      <c r="B20" s="95"/>
      <c r="C20" s="96"/>
      <c r="D20" s="97"/>
      <c r="E20" s="85"/>
      <c r="F20" s="4"/>
      <c r="G20" s="68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98"/>
      <c r="B21" s="95"/>
      <c r="C21" s="96"/>
      <c r="D21" s="97"/>
      <c r="E21" s="85"/>
      <c r="F21" s="4"/>
      <c r="G21" s="68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94"/>
      <c r="B22" s="95"/>
      <c r="C22" s="96"/>
      <c r="D22" s="97"/>
      <c r="E22" s="85"/>
      <c r="F22" s="4"/>
      <c r="G22" s="68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98"/>
      <c r="B23" s="95"/>
      <c r="C23" s="25"/>
      <c r="D23" s="84"/>
      <c r="E23" s="85"/>
      <c r="F23" s="4"/>
      <c r="G23" s="68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98"/>
      <c r="B24" s="95"/>
      <c r="C24" s="25"/>
      <c r="D24" s="84"/>
      <c r="E24" s="85"/>
      <c r="F24" s="4"/>
      <c r="G24" s="68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98"/>
      <c r="B25" s="95"/>
      <c r="C25" s="25"/>
      <c r="D25" s="84"/>
      <c r="E25" s="85"/>
      <c r="F25" s="4"/>
      <c r="G25" s="68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98"/>
      <c r="B26" s="25"/>
      <c r="C26" s="25"/>
      <c r="D26" s="84"/>
      <c r="E26" s="85"/>
      <c r="F26" s="4"/>
      <c r="G26" s="68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98"/>
      <c r="B27" s="25"/>
      <c r="C27" s="25"/>
      <c r="D27" s="84"/>
      <c r="E27" s="85"/>
      <c r="F27" s="4"/>
      <c r="G27" s="68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98"/>
      <c r="B28" s="25"/>
      <c r="C28" s="25"/>
      <c r="D28" s="84"/>
      <c r="E28" s="85"/>
      <c r="F28" s="4"/>
      <c r="G28" s="68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84"/>
      <c r="B29" s="25"/>
      <c r="C29" s="25"/>
      <c r="D29" s="25"/>
      <c r="E29" s="85"/>
      <c r="F29" s="4"/>
      <c r="G29" s="68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84"/>
      <c r="B30" s="25"/>
      <c r="C30" s="25"/>
      <c r="D30" s="25"/>
      <c r="E30" s="85"/>
      <c r="F30" s="4"/>
      <c r="G30" s="68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84"/>
      <c r="B31" s="25"/>
      <c r="C31" s="25"/>
      <c r="D31" s="25"/>
      <c r="E31" s="85"/>
      <c r="F31" s="4"/>
      <c r="G31" s="68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84"/>
      <c r="B32" s="25"/>
      <c r="C32" s="25"/>
      <c r="D32" s="25"/>
      <c r="E32" s="85"/>
      <c r="F32" s="4"/>
      <c r="G32" s="68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84"/>
      <c r="B33" s="25"/>
      <c r="C33" s="25"/>
      <c r="D33" s="25"/>
      <c r="E33" s="85"/>
      <c r="F33" s="4"/>
      <c r="G33" s="68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84"/>
      <c r="B34" s="25"/>
      <c r="C34" s="25"/>
      <c r="D34" s="25"/>
      <c r="E34" s="85"/>
      <c r="F34" s="4"/>
      <c r="G34" s="68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84"/>
      <c r="B35" s="25"/>
      <c r="C35" s="25"/>
      <c r="D35" s="25"/>
      <c r="E35" s="85"/>
      <c r="F35" s="4"/>
      <c r="G35" s="68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84"/>
      <c r="B36" s="25"/>
      <c r="C36" s="25"/>
      <c r="D36" s="25"/>
      <c r="E36" s="85"/>
      <c r="F36" s="4"/>
      <c r="G36" s="68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84"/>
      <c r="B37" s="25"/>
      <c r="C37" s="25"/>
      <c r="D37" s="25"/>
      <c r="E37" s="85"/>
      <c r="F37" s="4"/>
      <c r="G37" s="68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85"/>
      <c r="F38" s="4"/>
      <c r="G38" s="68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85"/>
      <c r="F39" s="4"/>
      <c r="G39" s="68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85"/>
      <c r="F40" s="4"/>
      <c r="G40" s="68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85"/>
      <c r="F41" s="4"/>
      <c r="G41" s="68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85"/>
      <c r="F42" s="4"/>
      <c r="G42" s="68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85"/>
      <c r="F43" s="4"/>
      <c r="G43" s="68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85"/>
      <c r="F44" s="4"/>
      <c r="G44" s="68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85"/>
      <c r="F45" s="4"/>
      <c r="G45" s="68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85"/>
      <c r="F46" s="4"/>
      <c r="G46" s="68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85"/>
      <c r="F47" s="4"/>
      <c r="G47" s="68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85"/>
      <c r="F48" s="4"/>
      <c r="G48" s="68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85"/>
      <c r="F49" s="4"/>
      <c r="G49" s="68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85"/>
      <c r="F50" s="4"/>
      <c r="G50" s="68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85"/>
      <c r="F51" s="4"/>
      <c r="G51" s="68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85"/>
      <c r="F52" s="4"/>
      <c r="G52" s="68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85"/>
      <c r="F53" s="4"/>
      <c r="G53" s="68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85"/>
      <c r="F54" s="4"/>
      <c r="G54" s="68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85"/>
      <c r="F55" s="4"/>
      <c r="G55" s="68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85"/>
      <c r="F56" s="4"/>
      <c r="G56" s="68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85"/>
      <c r="F57" s="4"/>
      <c r="G57" s="68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85"/>
      <c r="F58" s="4"/>
      <c r="G58" s="68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85"/>
      <c r="F59" s="4"/>
      <c r="G59" s="68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85"/>
      <c r="F60" s="4"/>
      <c r="G60" s="68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85"/>
      <c r="F61" s="4"/>
      <c r="G61" s="68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85"/>
      <c r="F62" s="4"/>
      <c r="G62" s="68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85"/>
      <c r="F63" s="4"/>
      <c r="G63" s="68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85"/>
      <c r="F64" s="4"/>
      <c r="G64" s="68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85"/>
      <c r="F65" s="4"/>
      <c r="G65" s="68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85"/>
      <c r="F66" s="4"/>
      <c r="G66" s="68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85"/>
      <c r="F67" s="4"/>
      <c r="G67" s="68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85"/>
      <c r="F68" s="4"/>
      <c r="G68" s="68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85"/>
      <c r="F69" s="4"/>
      <c r="G69" s="68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85"/>
      <c r="F70" s="4"/>
      <c r="G70" s="68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85"/>
      <c r="F71" s="4"/>
      <c r="G71" s="68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85"/>
      <c r="F72" s="4"/>
      <c r="G72" s="68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85"/>
      <c r="F73" s="4"/>
      <c r="G73" s="68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85"/>
      <c r="F74" s="4"/>
      <c r="G74" s="68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85"/>
      <c r="F75" s="4"/>
      <c r="G75" s="68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85"/>
      <c r="F76" s="4"/>
      <c r="G76" s="68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85"/>
      <c r="F77" s="4"/>
      <c r="G77" s="68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85"/>
      <c r="F78" s="4"/>
      <c r="G78" s="68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85"/>
      <c r="F79" s="4"/>
      <c r="G79" s="68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85"/>
      <c r="F80" s="4"/>
      <c r="G80" s="68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85"/>
      <c r="F81" s="4"/>
      <c r="G81" s="68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85"/>
      <c r="F82" s="4"/>
      <c r="G82" s="68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85"/>
      <c r="F83" s="4"/>
      <c r="G83" s="68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85"/>
      <c r="F84" s="4"/>
      <c r="G84" s="68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85"/>
      <c r="F85" s="4"/>
      <c r="G85" s="68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85"/>
      <c r="F86" s="4"/>
      <c r="G86" s="68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85"/>
      <c r="F87" s="4"/>
      <c r="G87" s="68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85"/>
      <c r="F88" s="4"/>
      <c r="G88" s="68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85"/>
      <c r="F89" s="4"/>
      <c r="G89" s="68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85"/>
      <c r="F90" s="4"/>
      <c r="G90" s="68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85"/>
      <c r="F91" s="4"/>
      <c r="G91" s="68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85"/>
      <c r="F92" s="4"/>
      <c r="G92" s="68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85"/>
      <c r="F93" s="4"/>
      <c r="G93" s="68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85"/>
      <c r="F94" s="4"/>
      <c r="G94" s="68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85"/>
      <c r="F95" s="4"/>
      <c r="G95" s="68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85"/>
      <c r="F96" s="4"/>
      <c r="G96" s="68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85"/>
      <c r="F97" s="4"/>
      <c r="G97" s="68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85"/>
      <c r="F98" s="4"/>
      <c r="G98" s="68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85"/>
      <c r="F99" s="4"/>
      <c r="G99" s="68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85"/>
      <c r="F100" s="4"/>
      <c r="G100" s="68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85"/>
      <c r="F101" s="4"/>
      <c r="G101" s="68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85"/>
      <c r="F102" s="4"/>
      <c r="G102" s="68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85"/>
      <c r="F103" s="4"/>
      <c r="G103" s="68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85"/>
      <c r="F104" s="4"/>
      <c r="G104" s="68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85"/>
      <c r="F105" s="4"/>
      <c r="G105" s="68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85"/>
      <c r="F106" s="4"/>
      <c r="G106" s="68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85"/>
      <c r="F107" s="4"/>
      <c r="G107" s="68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85"/>
      <c r="F108" s="4"/>
      <c r="G108" s="68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85"/>
      <c r="F109" s="4"/>
      <c r="G109" s="68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85"/>
      <c r="F110" s="4"/>
      <c r="G110" s="68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85"/>
      <c r="F111" s="4"/>
      <c r="G111" s="68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85"/>
      <c r="F112" s="4"/>
      <c r="G112" s="68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85"/>
      <c r="F113" s="4"/>
      <c r="G113" s="68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85"/>
      <c r="F114" s="4"/>
      <c r="G114" s="68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85"/>
      <c r="F115" s="4"/>
      <c r="G115" s="68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85"/>
      <c r="F116" s="4"/>
      <c r="G116" s="68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85"/>
      <c r="F117" s="4"/>
      <c r="G117" s="68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85"/>
      <c r="F118" s="4"/>
      <c r="G118" s="68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85"/>
      <c r="F119" s="4"/>
      <c r="G119" s="68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85"/>
      <c r="F120" s="4"/>
      <c r="G120" s="68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85"/>
      <c r="F121" s="4"/>
      <c r="G121" s="68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85"/>
      <c r="F122" s="4"/>
      <c r="G122" s="68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85"/>
      <c r="F123" s="4"/>
      <c r="G123" s="68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85"/>
      <c r="F124" s="4"/>
      <c r="G124" s="68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85"/>
      <c r="F125" s="4"/>
      <c r="G125" s="68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85"/>
      <c r="F126" s="4"/>
      <c r="G126" s="68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85"/>
      <c r="F127" s="4"/>
      <c r="G127" s="68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85"/>
      <c r="F128" s="4"/>
      <c r="G128" s="68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85"/>
      <c r="F129" s="4"/>
      <c r="G129" s="68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85"/>
      <c r="F130" s="4"/>
      <c r="G130" s="68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85"/>
      <c r="F131" s="4"/>
      <c r="G131" s="68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85"/>
      <c r="F132" s="4"/>
      <c r="G132" s="68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85"/>
      <c r="F133" s="4"/>
      <c r="G133" s="68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85"/>
      <c r="F134" s="4"/>
      <c r="G134" s="68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85"/>
      <c r="F135" s="4"/>
      <c r="G135" s="68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85"/>
      <c r="F136" s="4"/>
      <c r="G136" s="68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85"/>
      <c r="F137" s="4"/>
      <c r="G137" s="68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85"/>
      <c r="F138" s="4"/>
      <c r="G138" s="68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85"/>
      <c r="F139" s="4"/>
      <c r="G139" s="68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85"/>
      <c r="F140" s="4"/>
      <c r="G140" s="68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85"/>
      <c r="F141" s="4"/>
      <c r="G141" s="68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85"/>
      <c r="F142" s="4"/>
      <c r="G142" s="68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85"/>
      <c r="F143" s="4"/>
      <c r="G143" s="68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85"/>
      <c r="F144" s="4"/>
      <c r="G144" s="68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68"/>
      <c r="G145" s="68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68"/>
      <c r="G146" s="68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68"/>
      <c r="G147" s="68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68"/>
      <c r="G148" s="68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68"/>
      <c r="G149" s="68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68"/>
      <c r="G150" s="68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68"/>
      <c r="G151" s="68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68"/>
      <c r="G152" s="68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68"/>
      <c r="G153" s="68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68"/>
      <c r="G154" s="68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68"/>
      <c r="G155" s="68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68"/>
      <c r="G156" s="68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68"/>
      <c r="G157" s="68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68"/>
      <c r="G158" s="68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68"/>
      <c r="G159" s="68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68"/>
      <c r="G160" s="68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68"/>
      <c r="G161" s="68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68"/>
      <c r="G162" s="68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68"/>
      <c r="G163" s="68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68"/>
      <c r="G164" s="68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68"/>
      <c r="G165" s="68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68"/>
      <c r="G166" s="68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68"/>
      <c r="G167" s="68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68"/>
      <c r="G168" s="68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68"/>
      <c r="G169" s="68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68"/>
      <c r="G170" s="68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68"/>
      <c r="G171" s="68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68"/>
      <c r="G172" s="68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68"/>
      <c r="G173" s="68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68"/>
      <c r="G174" s="68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68"/>
      <c r="G175" s="68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68"/>
      <c r="G176" s="68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68"/>
      <c r="G177" s="68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68"/>
      <c r="G178" s="68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68"/>
      <c r="G179" s="68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68"/>
      <c r="G180" s="68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68"/>
      <c r="G181" s="68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68"/>
      <c r="G182" s="68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68"/>
      <c r="G183" s="68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68"/>
      <c r="G184" s="68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68"/>
      <c r="G185" s="68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68"/>
      <c r="G186" s="68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68"/>
      <c r="G187" s="68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68"/>
      <c r="G188" s="68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68"/>
      <c r="G189" s="68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68"/>
      <c r="G190" s="68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68"/>
      <c r="G191" s="68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68"/>
      <c r="G192" s="68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68"/>
      <c r="G193" s="68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68"/>
      <c r="G194" s="68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68"/>
      <c r="G195" s="68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68"/>
      <c r="G196" s="68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68"/>
      <c r="G197" s="68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68"/>
      <c r="G198" s="68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68"/>
      <c r="G199" s="68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68"/>
      <c r="G200" s="68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68"/>
      <c r="G201" s="68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68"/>
      <c r="G202" s="68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68"/>
      <c r="G203" s="68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68"/>
      <c r="G204" s="68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68"/>
      <c r="G205" s="68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68"/>
      <c r="G206" s="68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68"/>
      <c r="G207" s="68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68"/>
      <c r="G208" s="68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68"/>
      <c r="G209" s="68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68"/>
      <c r="G210" s="68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68"/>
      <c r="G211" s="68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68"/>
      <c r="G212" s="68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6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6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6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6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6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6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6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6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6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6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6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6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6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6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6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6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6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6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6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6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6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6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6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6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6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6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6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6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6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6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6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6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6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6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6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6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6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6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6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6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6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6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6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6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6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6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6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6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6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6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6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6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6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6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6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6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6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6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6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6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6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6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6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6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6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6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6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6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6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6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6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6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6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6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6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6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6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6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6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6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6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6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6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6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6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6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6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6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6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6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6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6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6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6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6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6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6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6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6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6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6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6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6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6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6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6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6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6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6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6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6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6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6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6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6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6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6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6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6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6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6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6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6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6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6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6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6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6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6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6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6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6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6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6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6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6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6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6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6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6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6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6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6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6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6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6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6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6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6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6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6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6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6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6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6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6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6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6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6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6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6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6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6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6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6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6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6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6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6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6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6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6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6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6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6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6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6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6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6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6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6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6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6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6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6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6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6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6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6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6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6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6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6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6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6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6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6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6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6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6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6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6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6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6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6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6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6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6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6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6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6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6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6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6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6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6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6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6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6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6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6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6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6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6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6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6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6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6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6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6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6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6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6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6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6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6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6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6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6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6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6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6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6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6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6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6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6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6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6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6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6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6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6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6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6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6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6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6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6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6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6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6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6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6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6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6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6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6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6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6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6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6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6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6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6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6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6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6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6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6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6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6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6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6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6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6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6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6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6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6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6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6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6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6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6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6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6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6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6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6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6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6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6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6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6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6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6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6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6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6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6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6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6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6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6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6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6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6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6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6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6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6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6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6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6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6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6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6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6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6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6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6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6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6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6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6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6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6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6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6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6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6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6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6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6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6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6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6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6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6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6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6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6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6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6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6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6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6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6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6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6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6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6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6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6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6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6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6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6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6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6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6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6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6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6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6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6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6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6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6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6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6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6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6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6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6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6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6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6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6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6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6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6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6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6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6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6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6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6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6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6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6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6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6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6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6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6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6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6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6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6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6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6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6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6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6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6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6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6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6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6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6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6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6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6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6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6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6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6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6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6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6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6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6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6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6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6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6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6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6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6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6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6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6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6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6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6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6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6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6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6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6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6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6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6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6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6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6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6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6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6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6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6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6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6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6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6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6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6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6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6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6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6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6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6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6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6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6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6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6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6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6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6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6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6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6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6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6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6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6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6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6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6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6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6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6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6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6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6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6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6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6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6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6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6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6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6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6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6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6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6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6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6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6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6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6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6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6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6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6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6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6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6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6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6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6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6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6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6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6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6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6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6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6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6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6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6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6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6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6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6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6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6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6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6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6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6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6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6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6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6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6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6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6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6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6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6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6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6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6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6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6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6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6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6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6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6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6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6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6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6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6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6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6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6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6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6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6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6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6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6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6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6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6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6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6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6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6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6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6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6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6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6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6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6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6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6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6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6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6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6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6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6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6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6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6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6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6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6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6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6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6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6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6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6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6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6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6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6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6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6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6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6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6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6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6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6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6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6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6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6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6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6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6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6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6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6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6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6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6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6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6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6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6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6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6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6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6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6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6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6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6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6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6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6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6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6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6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6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6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6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6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6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6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6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6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6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6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6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6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6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6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6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6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6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6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6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6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6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6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6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6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6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6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6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6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6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6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6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6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6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6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6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6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6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6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6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6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6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6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6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6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6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6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6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6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6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6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6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6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6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6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6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6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6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6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6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6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6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6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6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6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6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6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6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6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6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6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6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6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6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6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6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6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6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6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6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6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6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6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6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6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6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6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6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6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6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6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6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6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6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6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6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6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6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6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6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6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6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86"/>
      <c r="V971" s="86"/>
      <c r="W971" s="86"/>
      <c r="X971" s="86"/>
      <c r="Y971" s="86"/>
      <c r="Z971" s="86"/>
    </row>
    <row r="972">
      <c r="A972" s="4"/>
      <c r="B972" s="4"/>
      <c r="C972" s="4"/>
      <c r="D972" s="4"/>
      <c r="E972" s="4"/>
      <c r="F972" s="4"/>
      <c r="G972" s="4"/>
      <c r="H972" s="6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86"/>
      <c r="V972" s="86"/>
      <c r="W972" s="86"/>
      <c r="X972" s="86"/>
      <c r="Y972" s="86"/>
      <c r="Z972" s="86"/>
    </row>
    <row r="973">
      <c r="A973" s="4"/>
      <c r="B973" s="4"/>
      <c r="C973" s="4"/>
      <c r="D973" s="4"/>
      <c r="E973" s="4"/>
      <c r="F973" s="4"/>
      <c r="G973" s="4"/>
      <c r="H973" s="6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86"/>
      <c r="V973" s="86"/>
      <c r="W973" s="86"/>
      <c r="X973" s="86"/>
      <c r="Y973" s="86"/>
      <c r="Z973" s="86"/>
    </row>
    <row r="974">
      <c r="A974" s="4"/>
      <c r="B974" s="4"/>
      <c r="C974" s="4"/>
      <c r="D974" s="4"/>
      <c r="E974" s="4"/>
      <c r="F974" s="4"/>
      <c r="G974" s="4"/>
      <c r="H974" s="6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86"/>
      <c r="V974" s="86"/>
      <c r="W974" s="86"/>
      <c r="X974" s="86"/>
      <c r="Y974" s="86"/>
      <c r="Z974" s="86"/>
    </row>
    <row r="975">
      <c r="A975" s="4"/>
      <c r="B975" s="4"/>
      <c r="C975" s="4"/>
      <c r="D975" s="4"/>
      <c r="E975" s="4"/>
      <c r="F975" s="4"/>
      <c r="G975" s="4"/>
      <c r="H975" s="6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86"/>
      <c r="V975" s="86"/>
      <c r="W975" s="86"/>
      <c r="X975" s="86"/>
      <c r="Y975" s="86"/>
      <c r="Z975" s="86"/>
    </row>
    <row r="976">
      <c r="A976" s="4"/>
      <c r="B976" s="4"/>
      <c r="C976" s="4"/>
      <c r="D976" s="4"/>
      <c r="E976" s="4"/>
      <c r="F976" s="4"/>
      <c r="G976" s="4"/>
      <c r="H976" s="6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86"/>
      <c r="V976" s="86"/>
      <c r="W976" s="86"/>
      <c r="X976" s="86"/>
      <c r="Y976" s="86"/>
      <c r="Z976" s="86"/>
    </row>
    <row r="977">
      <c r="A977" s="4"/>
      <c r="B977" s="4"/>
      <c r="C977" s="4"/>
      <c r="D977" s="4"/>
      <c r="E977" s="4"/>
      <c r="F977" s="4"/>
      <c r="G977" s="4"/>
      <c r="H977" s="6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86"/>
      <c r="V977" s="86"/>
      <c r="W977" s="86"/>
      <c r="X977" s="86"/>
      <c r="Y977" s="86"/>
      <c r="Z977" s="86"/>
    </row>
    <row r="978">
      <c r="A978" s="4"/>
      <c r="B978" s="4"/>
      <c r="C978" s="4"/>
      <c r="D978" s="4"/>
      <c r="E978" s="4"/>
      <c r="F978" s="4"/>
      <c r="G978" s="4"/>
      <c r="H978" s="6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86"/>
      <c r="V978" s="86"/>
      <c r="W978" s="86"/>
      <c r="X978" s="86"/>
      <c r="Y978" s="86"/>
      <c r="Z978" s="86"/>
    </row>
    <row r="979">
      <c r="A979" s="4"/>
      <c r="B979" s="4"/>
      <c r="C979" s="4"/>
      <c r="D979" s="4"/>
      <c r="E979" s="4"/>
      <c r="F979" s="4"/>
      <c r="G979" s="4"/>
      <c r="H979" s="6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86"/>
      <c r="V979" s="86"/>
      <c r="W979" s="86"/>
      <c r="X979" s="86"/>
      <c r="Y979" s="86"/>
      <c r="Z979" s="86"/>
    </row>
    <row r="980">
      <c r="A980" s="4"/>
      <c r="B980" s="4"/>
      <c r="C980" s="4"/>
      <c r="D980" s="4"/>
      <c r="E980" s="4"/>
      <c r="F980" s="4"/>
      <c r="G980" s="4"/>
      <c r="H980" s="6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86"/>
      <c r="V980" s="86"/>
      <c r="W980" s="86"/>
      <c r="X980" s="86"/>
      <c r="Y980" s="86"/>
      <c r="Z980" s="86"/>
    </row>
    <row r="981">
      <c r="A981" s="4"/>
      <c r="B981" s="4"/>
      <c r="C981" s="4"/>
      <c r="D981" s="4"/>
      <c r="E981" s="4"/>
      <c r="F981" s="4"/>
      <c r="G981" s="4"/>
      <c r="H981" s="6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86"/>
      <c r="V981" s="86"/>
      <c r="W981" s="86"/>
      <c r="X981" s="86"/>
      <c r="Y981" s="86"/>
      <c r="Z981" s="86"/>
    </row>
    <row r="982">
      <c r="A982" s="4"/>
      <c r="B982" s="4"/>
      <c r="C982" s="4"/>
      <c r="D982" s="4"/>
      <c r="E982" s="4"/>
      <c r="F982" s="4"/>
      <c r="G982" s="4"/>
      <c r="H982" s="6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86"/>
      <c r="V982" s="86"/>
      <c r="W982" s="86"/>
      <c r="X982" s="86"/>
      <c r="Y982" s="86"/>
      <c r="Z982" s="86"/>
    </row>
    <row r="983">
      <c r="A983" s="4"/>
      <c r="B983" s="4"/>
      <c r="C983" s="4"/>
      <c r="D983" s="4"/>
      <c r="E983" s="4"/>
      <c r="F983" s="4"/>
      <c r="G983" s="4"/>
      <c r="H983" s="6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86"/>
      <c r="V983" s="86"/>
      <c r="W983" s="86"/>
      <c r="X983" s="86"/>
      <c r="Y983" s="86"/>
      <c r="Z983" s="86"/>
    </row>
    <row r="984">
      <c r="A984" s="4"/>
      <c r="B984" s="4"/>
      <c r="C984" s="4"/>
      <c r="D984" s="4"/>
      <c r="E984" s="4"/>
      <c r="F984" s="4"/>
      <c r="G984" s="4"/>
      <c r="H984" s="6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86"/>
      <c r="V984" s="86"/>
      <c r="W984" s="86"/>
      <c r="X984" s="86"/>
      <c r="Y984" s="86"/>
      <c r="Z984" s="86"/>
    </row>
    <row r="985">
      <c r="A985" s="4"/>
      <c r="B985" s="4"/>
      <c r="C985" s="4"/>
      <c r="D985" s="4"/>
      <c r="E985" s="4"/>
      <c r="F985" s="4"/>
      <c r="G985" s="4"/>
      <c r="H985" s="6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86"/>
      <c r="V985" s="86"/>
      <c r="W985" s="86"/>
      <c r="X985" s="86"/>
      <c r="Y985" s="86"/>
      <c r="Z985" s="86"/>
    </row>
    <row r="986">
      <c r="A986" s="4"/>
      <c r="B986" s="4"/>
      <c r="C986" s="4"/>
      <c r="D986" s="4"/>
      <c r="E986" s="4"/>
      <c r="F986" s="4"/>
      <c r="G986" s="4"/>
      <c r="H986" s="6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86"/>
      <c r="V986" s="86"/>
      <c r="W986" s="86"/>
      <c r="X986" s="86"/>
      <c r="Y986" s="86"/>
      <c r="Z986" s="86"/>
    </row>
    <row r="987">
      <c r="A987" s="4"/>
      <c r="B987" s="4"/>
      <c r="C987" s="4"/>
      <c r="D987" s="4"/>
      <c r="E987" s="4"/>
      <c r="F987" s="4"/>
      <c r="G987" s="4"/>
      <c r="H987" s="6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86"/>
      <c r="V987" s="86"/>
      <c r="W987" s="86"/>
      <c r="X987" s="86"/>
      <c r="Y987" s="86"/>
      <c r="Z987" s="86"/>
    </row>
    <row r="988">
      <c r="A988" s="4"/>
      <c r="B988" s="4"/>
      <c r="C988" s="4"/>
      <c r="D988" s="4"/>
      <c r="E988" s="4"/>
      <c r="F988" s="4"/>
      <c r="G988" s="4"/>
      <c r="H988" s="6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86"/>
      <c r="V988" s="86"/>
      <c r="W988" s="86"/>
      <c r="X988" s="86"/>
      <c r="Y988" s="86"/>
      <c r="Z988" s="86"/>
    </row>
    <row r="989">
      <c r="A989" s="4"/>
      <c r="B989" s="4"/>
      <c r="C989" s="4"/>
      <c r="D989" s="4"/>
      <c r="E989" s="4"/>
      <c r="F989" s="4"/>
      <c r="G989" s="4"/>
      <c r="H989" s="6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86"/>
      <c r="V989" s="86"/>
      <c r="W989" s="86"/>
      <c r="X989" s="86"/>
      <c r="Y989" s="86"/>
      <c r="Z989" s="86"/>
    </row>
    <row r="990">
      <c r="A990" s="4"/>
      <c r="B990" s="4"/>
      <c r="C990" s="4"/>
      <c r="D990" s="4"/>
      <c r="E990" s="4"/>
      <c r="F990" s="4"/>
      <c r="G990" s="4"/>
      <c r="H990" s="6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86"/>
      <c r="V990" s="86"/>
      <c r="W990" s="86"/>
      <c r="X990" s="86"/>
      <c r="Y990" s="86"/>
      <c r="Z990" s="86"/>
    </row>
    <row r="991">
      <c r="A991" s="4"/>
      <c r="B991" s="4"/>
      <c r="C991" s="4"/>
      <c r="D991" s="4"/>
      <c r="E991" s="4"/>
      <c r="F991" s="4"/>
      <c r="G991" s="4"/>
      <c r="H991" s="6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86"/>
      <c r="V991" s="86"/>
      <c r="W991" s="86"/>
      <c r="X991" s="86"/>
      <c r="Y991" s="86"/>
      <c r="Z991" s="86"/>
    </row>
    <row r="992">
      <c r="A992" s="4"/>
      <c r="B992" s="4"/>
      <c r="C992" s="4"/>
      <c r="D992" s="4"/>
      <c r="E992" s="4"/>
      <c r="F992" s="4"/>
      <c r="G992" s="4"/>
      <c r="H992" s="6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86"/>
      <c r="V992" s="86"/>
      <c r="W992" s="86"/>
      <c r="X992" s="86"/>
      <c r="Y992" s="86"/>
      <c r="Z992" s="86"/>
    </row>
    <row r="993">
      <c r="A993" s="4"/>
      <c r="B993" s="4"/>
      <c r="C993" s="4"/>
      <c r="D993" s="4"/>
      <c r="E993" s="4"/>
      <c r="F993" s="4"/>
      <c r="G993" s="4"/>
      <c r="H993" s="68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86"/>
      <c r="V993" s="86"/>
      <c r="W993" s="86"/>
      <c r="X993" s="86"/>
      <c r="Y993" s="86"/>
      <c r="Z993" s="86"/>
    </row>
    <row r="994">
      <c r="A994" s="4"/>
      <c r="B994" s="4"/>
      <c r="C994" s="4"/>
      <c r="D994" s="4"/>
      <c r="E994" s="4"/>
      <c r="F994" s="4"/>
      <c r="G994" s="4"/>
      <c r="H994" s="68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86"/>
      <c r="V994" s="86"/>
      <c r="W994" s="86"/>
      <c r="X994" s="86"/>
      <c r="Y994" s="86"/>
      <c r="Z994" s="86"/>
    </row>
    <row r="995">
      <c r="A995" s="4"/>
      <c r="B995" s="4"/>
      <c r="C995" s="4"/>
      <c r="D995" s="4"/>
      <c r="E995" s="4"/>
      <c r="F995" s="4"/>
      <c r="G995" s="4"/>
      <c r="H995" s="87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86"/>
      <c r="V995" s="86"/>
      <c r="W995" s="86"/>
      <c r="X995" s="86"/>
      <c r="Y995" s="86"/>
      <c r="Z995" s="86"/>
    </row>
    <row r="996">
      <c r="A996" s="4"/>
      <c r="B996" s="4"/>
      <c r="C996" s="4"/>
      <c r="D996" s="4"/>
      <c r="E996" s="4"/>
      <c r="F996" s="4"/>
      <c r="G996" s="4"/>
      <c r="H996" s="87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86"/>
      <c r="V996" s="86"/>
      <c r="W996" s="86"/>
      <c r="X996" s="86"/>
      <c r="Y996" s="86"/>
      <c r="Z996" s="86"/>
    </row>
    <row r="997">
      <c r="A997" s="4"/>
      <c r="B997" s="4"/>
      <c r="C997" s="4"/>
      <c r="D997" s="4"/>
      <c r="E997" s="4"/>
      <c r="F997" s="4"/>
      <c r="G997" s="4"/>
      <c r="H997" s="87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86"/>
      <c r="V997" s="86"/>
      <c r="W997" s="86"/>
      <c r="X997" s="86"/>
      <c r="Y997" s="86"/>
      <c r="Z997" s="86"/>
    </row>
    <row r="998">
      <c r="A998" s="4"/>
      <c r="B998" s="4"/>
      <c r="C998" s="4"/>
      <c r="D998" s="4"/>
      <c r="E998" s="4"/>
      <c r="F998" s="4"/>
      <c r="G998" s="4"/>
      <c r="H998" s="87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86"/>
      <c r="V998" s="86"/>
      <c r="W998" s="86"/>
      <c r="X998" s="86"/>
      <c r="Y998" s="86"/>
      <c r="Z998" s="86"/>
    </row>
    <row r="999">
      <c r="A999" s="4"/>
      <c r="B999" s="4"/>
      <c r="C999" s="4"/>
      <c r="D999" s="4"/>
      <c r="E999" s="4"/>
      <c r="F999" s="4"/>
      <c r="G999" s="4"/>
      <c r="H999" s="87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86"/>
      <c r="V999" s="86"/>
      <c r="W999" s="86"/>
      <c r="X999" s="86"/>
      <c r="Y999" s="86"/>
      <c r="Z999" s="86"/>
    </row>
    <row r="1000">
      <c r="A1000" s="4"/>
      <c r="B1000" s="4"/>
      <c r="C1000" s="4"/>
      <c r="D1000" s="4"/>
      <c r="E1000" s="4"/>
      <c r="F1000" s="4"/>
      <c r="G1000" s="4"/>
      <c r="H1000" s="87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86"/>
      <c r="V1000" s="86"/>
      <c r="W1000" s="86"/>
      <c r="X1000" s="86"/>
      <c r="Y1000" s="86"/>
      <c r="Z1000" s="86"/>
    </row>
    <row r="1001">
      <c r="A1001" s="4"/>
      <c r="B1001" s="4"/>
      <c r="C1001" s="4"/>
      <c r="D1001" s="4"/>
      <c r="E1001" s="4"/>
      <c r="F1001" s="4"/>
      <c r="G1001" s="4"/>
      <c r="H1001" s="87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86"/>
      <c r="V1001" s="86"/>
      <c r="W1001" s="86"/>
      <c r="X1001" s="86"/>
      <c r="Y1001" s="86"/>
      <c r="Z1001" s="86"/>
    </row>
    <row r="1002">
      <c r="A1002" s="4"/>
      <c r="B1002" s="4"/>
      <c r="C1002" s="4"/>
      <c r="D1002" s="4"/>
      <c r="E1002" s="4"/>
      <c r="F1002" s="4"/>
      <c r="G1002" s="4"/>
      <c r="H1002" s="87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86"/>
      <c r="V1002" s="86"/>
      <c r="W1002" s="86"/>
      <c r="X1002" s="86"/>
      <c r="Y1002" s="86"/>
      <c r="Z1002" s="86"/>
    </row>
    <row r="1003">
      <c r="A1003" s="4"/>
      <c r="B1003" s="4"/>
      <c r="C1003" s="4"/>
      <c r="D1003" s="4"/>
      <c r="E1003" s="4"/>
      <c r="F1003" s="4"/>
      <c r="G1003" s="4"/>
      <c r="H1003" s="87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86"/>
      <c r="V1003" s="86"/>
      <c r="W1003" s="86"/>
      <c r="X1003" s="86"/>
      <c r="Y1003" s="86"/>
      <c r="Z1003" s="86"/>
    </row>
    <row r="1004">
      <c r="A1004" s="4"/>
      <c r="B1004" s="4"/>
      <c r="C1004" s="4"/>
      <c r="D1004" s="4"/>
      <c r="E1004" s="4"/>
      <c r="F1004" s="4"/>
      <c r="G1004" s="4"/>
      <c r="H1004" s="87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86"/>
      <c r="V1004" s="86"/>
      <c r="W1004" s="86"/>
      <c r="X1004" s="86"/>
      <c r="Y1004" s="86"/>
      <c r="Z1004" s="86"/>
    </row>
    <row r="1005">
      <c r="A1005" s="4"/>
      <c r="B1005" s="4"/>
      <c r="C1005" s="4"/>
      <c r="D1005" s="4"/>
      <c r="E1005" s="4"/>
      <c r="F1005" s="4"/>
      <c r="G1005" s="4"/>
      <c r="H1005" s="87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86"/>
      <c r="V1005" s="86"/>
      <c r="W1005" s="86"/>
      <c r="X1005" s="86"/>
      <c r="Y1005" s="86"/>
      <c r="Z1005" s="86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61" t="s">
        <v>25</v>
      </c>
      <c r="C1" s="62" t="s">
        <v>26</v>
      </c>
      <c r="D1" s="63" t="s">
        <v>20</v>
      </c>
      <c r="E1" s="64" t="s">
        <v>21</v>
      </c>
      <c r="F1" s="65" t="s">
        <v>22</v>
      </c>
      <c r="G1" s="66" t="s">
        <v>23</v>
      </c>
      <c r="H1" s="67" t="s">
        <v>24</v>
      </c>
      <c r="I1" s="6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1" t="s">
        <v>27</v>
      </c>
      <c r="B2" s="69">
        <f>SUM(G7:G962)</f>
        <v>0</v>
      </c>
      <c r="C2" s="70">
        <f>SUMIF(F8:F960,"MÉDIA MULTI-ANNONCEURS",G8:G960)</f>
        <v>0</v>
      </c>
      <c r="D2" s="71">
        <f>SUMIF(F8:F960,"PROMOTIONNEL",G8:G960)</f>
        <v>0</v>
      </c>
      <c r="E2" s="72">
        <f>SUMIF(F8:F960,"DIST. PUBLICITAIRE SOLO",G8:G960)</f>
        <v>0</v>
      </c>
      <c r="F2" s="73">
        <f>SUMIF(F8:F960,"AGENCE PUB",G8:G960)</f>
        <v>0</v>
      </c>
      <c r="G2" s="74">
        <f>SUMIF(F8:F960,"AGENCE WEB",G8:G960)</f>
        <v>0</v>
      </c>
      <c r="H2" s="75">
        <f>SUMIF(F8:F960,"SERVICES IA",G8:G960)</f>
        <v>0</v>
      </c>
      <c r="I2" s="6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6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1" t="s">
        <v>28</v>
      </c>
      <c r="B4" s="69">
        <f>SUM(B8:B962)</f>
        <v>0</v>
      </c>
      <c r="C4" s="70">
        <f>SUMIF(F8:F960,"MÉDIA MULTI-ANNONCEURS",B8:B960)</f>
        <v>0</v>
      </c>
      <c r="D4" s="71">
        <f>SUMIF(F8:F960,"PROMOTIONNEL",B8:B960)</f>
        <v>0</v>
      </c>
      <c r="E4" s="72">
        <f>SUMIF(F8:F960,"DIST. PUBLICITAIRE SOLO",B8:B960)</f>
        <v>0</v>
      </c>
      <c r="F4" s="73">
        <f>SUMIF(F8:F960,"AGENCE PUB",B8:B960)</f>
        <v>0</v>
      </c>
      <c r="G4" s="74">
        <f>SUMIF(F8:F960,"AGENCE WEB",B8:B960)</f>
        <v>0</v>
      </c>
      <c r="H4" s="75">
        <f>SUMIF(F8:F960,"SERVICES IA",B8:B960)</f>
        <v>0</v>
      </c>
      <c r="I4" s="6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6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68"/>
      <c r="C6" s="68"/>
      <c r="D6" s="68"/>
      <c r="E6" s="68"/>
      <c r="F6" s="68"/>
      <c r="G6" s="68"/>
      <c r="H6" s="4"/>
      <c r="I6" s="6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1" t="s">
        <v>29</v>
      </c>
      <c r="B7" s="76" t="s">
        <v>30</v>
      </c>
      <c r="C7" s="77" t="s">
        <v>31</v>
      </c>
      <c r="D7" s="77" t="s">
        <v>32</v>
      </c>
      <c r="E7" s="76" t="s">
        <v>33</v>
      </c>
      <c r="F7" s="78" t="s">
        <v>34</v>
      </c>
      <c r="G7" s="78" t="s">
        <v>35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9"/>
      <c r="B8" s="80"/>
      <c r="C8" s="81"/>
      <c r="D8" s="82"/>
      <c r="E8" s="83"/>
      <c r="F8" s="79"/>
      <c r="G8" s="68">
        <f t="shared" ref="G8:G166" si="1">B8*0.1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79"/>
      <c r="B9" s="80"/>
      <c r="C9" s="79"/>
      <c r="D9" s="89"/>
      <c r="E9" s="83"/>
      <c r="F9" s="83"/>
      <c r="G9" s="68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79"/>
      <c r="B10" s="80"/>
      <c r="C10" s="79"/>
      <c r="D10" s="89"/>
      <c r="E10" s="83"/>
      <c r="F10" s="79"/>
      <c r="G10" s="68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79"/>
      <c r="B11" s="80"/>
      <c r="C11" s="79"/>
      <c r="D11" s="89"/>
      <c r="E11" s="83"/>
      <c r="F11" s="79"/>
      <c r="G11" s="68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79"/>
      <c r="B12" s="80"/>
      <c r="C12" s="79"/>
      <c r="D12" s="89"/>
      <c r="E12" s="83"/>
      <c r="F12" s="79"/>
      <c r="G12" s="68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79"/>
      <c r="B13" s="80"/>
      <c r="C13" s="79"/>
      <c r="D13" s="89"/>
      <c r="E13" s="83"/>
      <c r="F13" s="79"/>
      <c r="G13" s="68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79"/>
      <c r="B14" s="80"/>
      <c r="C14" s="79"/>
      <c r="D14" s="89"/>
      <c r="E14" s="83"/>
      <c r="F14" s="79"/>
      <c r="G14" s="68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79"/>
      <c r="B15" s="80"/>
      <c r="C15" s="79"/>
      <c r="D15" s="89"/>
      <c r="E15" s="83"/>
      <c r="F15" s="79"/>
      <c r="G15" s="68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90"/>
      <c r="B16" s="80"/>
      <c r="C16" s="91"/>
      <c r="D16" s="92"/>
      <c r="E16" s="93"/>
      <c r="F16" s="11"/>
      <c r="G16" s="68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90"/>
      <c r="B17" s="80"/>
      <c r="C17" s="91"/>
      <c r="D17" s="92"/>
      <c r="E17" s="93"/>
      <c r="F17" s="11"/>
      <c r="G17" s="68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90"/>
      <c r="B18" s="80"/>
      <c r="C18" s="91"/>
      <c r="D18" s="92"/>
      <c r="E18" s="93"/>
      <c r="F18" s="11"/>
      <c r="G18" s="68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94"/>
      <c r="B19" s="95"/>
      <c r="C19" s="96"/>
      <c r="D19" s="97"/>
      <c r="E19" s="85"/>
      <c r="F19" s="4"/>
      <c r="G19" s="68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98"/>
      <c r="B20" s="95"/>
      <c r="C20" s="96"/>
      <c r="D20" s="97"/>
      <c r="E20" s="85"/>
      <c r="F20" s="4"/>
      <c r="G20" s="68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98"/>
      <c r="B21" s="95"/>
      <c r="C21" s="96"/>
      <c r="D21" s="97"/>
      <c r="E21" s="85"/>
      <c r="F21" s="4"/>
      <c r="G21" s="68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94"/>
      <c r="B22" s="95"/>
      <c r="C22" s="96"/>
      <c r="D22" s="97"/>
      <c r="E22" s="85"/>
      <c r="F22" s="4"/>
      <c r="G22" s="68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98"/>
      <c r="B23" s="95"/>
      <c r="C23" s="25"/>
      <c r="D23" s="84"/>
      <c r="E23" s="85"/>
      <c r="F23" s="4"/>
      <c r="G23" s="68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98"/>
      <c r="B24" s="95"/>
      <c r="C24" s="25"/>
      <c r="D24" s="84"/>
      <c r="E24" s="85"/>
      <c r="F24" s="4"/>
      <c r="G24" s="68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98"/>
      <c r="B25" s="95"/>
      <c r="C25" s="25"/>
      <c r="D25" s="84"/>
      <c r="E25" s="85"/>
      <c r="F25" s="4"/>
      <c r="G25" s="68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98"/>
      <c r="B26" s="25"/>
      <c r="C26" s="25"/>
      <c r="D26" s="84"/>
      <c r="E26" s="85"/>
      <c r="F26" s="4"/>
      <c r="G26" s="68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98"/>
      <c r="B27" s="25"/>
      <c r="C27" s="25"/>
      <c r="D27" s="84"/>
      <c r="E27" s="85"/>
      <c r="F27" s="4"/>
      <c r="G27" s="68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98"/>
      <c r="B28" s="25"/>
      <c r="C28" s="25"/>
      <c r="D28" s="84"/>
      <c r="E28" s="85"/>
      <c r="F28" s="4"/>
      <c r="G28" s="68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84"/>
      <c r="B29" s="25"/>
      <c r="C29" s="25"/>
      <c r="D29" s="25"/>
      <c r="E29" s="85"/>
      <c r="F29" s="4"/>
      <c r="G29" s="68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84"/>
      <c r="B30" s="25"/>
      <c r="C30" s="25"/>
      <c r="D30" s="25"/>
      <c r="E30" s="85"/>
      <c r="F30" s="4"/>
      <c r="G30" s="68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84"/>
      <c r="B31" s="25"/>
      <c r="C31" s="25"/>
      <c r="D31" s="25"/>
      <c r="E31" s="85"/>
      <c r="F31" s="4"/>
      <c r="G31" s="68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84"/>
      <c r="B32" s="25"/>
      <c r="C32" s="25"/>
      <c r="D32" s="25"/>
      <c r="E32" s="85"/>
      <c r="F32" s="4"/>
      <c r="G32" s="68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84"/>
      <c r="B33" s="25"/>
      <c r="C33" s="25"/>
      <c r="D33" s="25"/>
      <c r="E33" s="85"/>
      <c r="F33" s="4"/>
      <c r="G33" s="68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84"/>
      <c r="B34" s="25"/>
      <c r="C34" s="25"/>
      <c r="D34" s="25"/>
      <c r="E34" s="85"/>
      <c r="F34" s="4"/>
      <c r="G34" s="68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84"/>
      <c r="B35" s="25"/>
      <c r="C35" s="25"/>
      <c r="D35" s="25"/>
      <c r="E35" s="85"/>
      <c r="F35" s="4"/>
      <c r="G35" s="68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84"/>
      <c r="B36" s="25"/>
      <c r="C36" s="25"/>
      <c r="D36" s="25"/>
      <c r="E36" s="85"/>
      <c r="F36" s="4"/>
      <c r="G36" s="68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84"/>
      <c r="B37" s="25"/>
      <c r="C37" s="25"/>
      <c r="D37" s="25"/>
      <c r="E37" s="85"/>
      <c r="F37" s="4"/>
      <c r="G37" s="68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85"/>
      <c r="F38" s="4"/>
      <c r="G38" s="68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85"/>
      <c r="F39" s="4"/>
      <c r="G39" s="68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85"/>
      <c r="F40" s="4"/>
      <c r="G40" s="68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85"/>
      <c r="F41" s="4"/>
      <c r="G41" s="68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85"/>
      <c r="F42" s="4"/>
      <c r="G42" s="68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85"/>
      <c r="F43" s="4"/>
      <c r="G43" s="68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85"/>
      <c r="F44" s="4"/>
      <c r="G44" s="68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85"/>
      <c r="F45" s="4"/>
      <c r="G45" s="68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85"/>
      <c r="F46" s="4"/>
      <c r="G46" s="68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85"/>
      <c r="F47" s="4"/>
      <c r="G47" s="68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85"/>
      <c r="F48" s="4"/>
      <c r="G48" s="68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85"/>
      <c r="F49" s="4"/>
      <c r="G49" s="68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85"/>
      <c r="F50" s="4"/>
      <c r="G50" s="68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85"/>
      <c r="F51" s="4"/>
      <c r="G51" s="68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85"/>
      <c r="F52" s="4"/>
      <c r="G52" s="68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85"/>
      <c r="F53" s="4"/>
      <c r="G53" s="68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85"/>
      <c r="F54" s="4"/>
      <c r="G54" s="68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85"/>
      <c r="F55" s="4"/>
      <c r="G55" s="68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85"/>
      <c r="F56" s="4"/>
      <c r="G56" s="68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85"/>
      <c r="F57" s="4"/>
      <c r="G57" s="68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85"/>
      <c r="F58" s="4"/>
      <c r="G58" s="68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85"/>
      <c r="F59" s="4"/>
      <c r="G59" s="68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85"/>
      <c r="F60" s="4"/>
      <c r="G60" s="68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85"/>
      <c r="F61" s="4"/>
      <c r="G61" s="68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85"/>
      <c r="F62" s="4"/>
      <c r="G62" s="68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85"/>
      <c r="F63" s="4"/>
      <c r="G63" s="68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85"/>
      <c r="F64" s="4"/>
      <c r="G64" s="68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85"/>
      <c r="F65" s="4"/>
      <c r="G65" s="68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85"/>
      <c r="F66" s="4"/>
      <c r="G66" s="68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85"/>
      <c r="F67" s="4"/>
      <c r="G67" s="68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85"/>
      <c r="F68" s="4"/>
      <c r="G68" s="68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85"/>
      <c r="F69" s="4"/>
      <c r="G69" s="68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85"/>
      <c r="F70" s="4"/>
      <c r="G70" s="68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85"/>
      <c r="F71" s="4"/>
      <c r="G71" s="68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85"/>
      <c r="F72" s="4"/>
      <c r="G72" s="68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85"/>
      <c r="F73" s="4"/>
      <c r="G73" s="68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85"/>
      <c r="F74" s="4"/>
      <c r="G74" s="68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85"/>
      <c r="F75" s="4"/>
      <c r="G75" s="68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85"/>
      <c r="F76" s="4"/>
      <c r="G76" s="68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85"/>
      <c r="F77" s="4"/>
      <c r="G77" s="68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85"/>
      <c r="F78" s="4"/>
      <c r="G78" s="68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85"/>
      <c r="F79" s="4"/>
      <c r="G79" s="68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85"/>
      <c r="F80" s="4"/>
      <c r="G80" s="68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85"/>
      <c r="F81" s="4"/>
      <c r="G81" s="68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85"/>
      <c r="F82" s="4"/>
      <c r="G82" s="68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85"/>
      <c r="F83" s="4"/>
      <c r="G83" s="68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85"/>
      <c r="F84" s="4"/>
      <c r="G84" s="68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85"/>
      <c r="F85" s="4"/>
      <c r="G85" s="68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85"/>
      <c r="F86" s="4"/>
      <c r="G86" s="68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85"/>
      <c r="F87" s="4"/>
      <c r="G87" s="68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85"/>
      <c r="F88" s="4"/>
      <c r="G88" s="68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85"/>
      <c r="F89" s="4"/>
      <c r="G89" s="68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85"/>
      <c r="F90" s="4"/>
      <c r="G90" s="68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85"/>
      <c r="F91" s="4"/>
      <c r="G91" s="68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85"/>
      <c r="F92" s="4"/>
      <c r="G92" s="68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85"/>
      <c r="F93" s="4"/>
      <c r="G93" s="68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85"/>
      <c r="F94" s="4"/>
      <c r="G94" s="68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85"/>
      <c r="F95" s="4"/>
      <c r="G95" s="68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85"/>
      <c r="F96" s="4"/>
      <c r="G96" s="68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85"/>
      <c r="F97" s="4"/>
      <c r="G97" s="68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85"/>
      <c r="F98" s="4"/>
      <c r="G98" s="68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85"/>
      <c r="F99" s="4"/>
      <c r="G99" s="68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85"/>
      <c r="F100" s="4"/>
      <c r="G100" s="68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85"/>
      <c r="F101" s="4"/>
      <c r="G101" s="68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85"/>
      <c r="F102" s="4"/>
      <c r="G102" s="68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85"/>
      <c r="F103" s="4"/>
      <c r="G103" s="68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85"/>
      <c r="F104" s="4"/>
      <c r="G104" s="68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85"/>
      <c r="F105" s="4"/>
      <c r="G105" s="68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85"/>
      <c r="F106" s="4"/>
      <c r="G106" s="68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85"/>
      <c r="F107" s="4"/>
      <c r="G107" s="68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85"/>
      <c r="F108" s="4"/>
      <c r="G108" s="68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85"/>
      <c r="F109" s="4"/>
      <c r="G109" s="68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85"/>
      <c r="F110" s="4"/>
      <c r="G110" s="68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85"/>
      <c r="F111" s="4"/>
      <c r="G111" s="68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85"/>
      <c r="F112" s="4"/>
      <c r="G112" s="68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85"/>
      <c r="F113" s="4"/>
      <c r="G113" s="68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85"/>
      <c r="F114" s="4"/>
      <c r="G114" s="68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85"/>
      <c r="F115" s="4"/>
      <c r="G115" s="68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85"/>
      <c r="F116" s="4"/>
      <c r="G116" s="68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85"/>
      <c r="F117" s="4"/>
      <c r="G117" s="68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85"/>
      <c r="F118" s="4"/>
      <c r="G118" s="68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85"/>
      <c r="F119" s="4"/>
      <c r="G119" s="68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85"/>
      <c r="F120" s="4"/>
      <c r="G120" s="68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85"/>
      <c r="F121" s="4"/>
      <c r="G121" s="68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85"/>
      <c r="F122" s="4"/>
      <c r="G122" s="68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85"/>
      <c r="F123" s="4"/>
      <c r="G123" s="68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85"/>
      <c r="F124" s="4"/>
      <c r="G124" s="68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85"/>
      <c r="F125" s="4"/>
      <c r="G125" s="68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85"/>
      <c r="F126" s="4"/>
      <c r="G126" s="68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85"/>
      <c r="F127" s="4"/>
      <c r="G127" s="68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85"/>
      <c r="F128" s="4"/>
      <c r="G128" s="68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85"/>
      <c r="F129" s="4"/>
      <c r="G129" s="68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85"/>
      <c r="F130" s="4"/>
      <c r="G130" s="68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85"/>
      <c r="F131" s="4"/>
      <c r="G131" s="68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85"/>
      <c r="F132" s="4"/>
      <c r="G132" s="68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85"/>
      <c r="F133" s="4"/>
      <c r="G133" s="68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85"/>
      <c r="F134" s="4"/>
      <c r="G134" s="68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85"/>
      <c r="F135" s="4"/>
      <c r="G135" s="68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85"/>
      <c r="F136" s="4"/>
      <c r="G136" s="68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85"/>
      <c r="F137" s="4"/>
      <c r="G137" s="68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85"/>
      <c r="F138" s="4"/>
      <c r="G138" s="68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85"/>
      <c r="F139" s="4"/>
      <c r="G139" s="68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85"/>
      <c r="F140" s="4"/>
      <c r="G140" s="68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85"/>
      <c r="F141" s="4"/>
      <c r="G141" s="68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85"/>
      <c r="F142" s="4"/>
      <c r="G142" s="68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85"/>
      <c r="F143" s="4"/>
      <c r="G143" s="68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85"/>
      <c r="F144" s="4"/>
      <c r="G144" s="68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68"/>
      <c r="G145" s="68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68"/>
      <c r="G146" s="68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68"/>
      <c r="G147" s="68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68"/>
      <c r="G148" s="68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68"/>
      <c r="G149" s="68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68"/>
      <c r="G150" s="68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68"/>
      <c r="G151" s="68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68"/>
      <c r="G152" s="68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68"/>
      <c r="G153" s="68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68"/>
      <c r="G154" s="68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68"/>
      <c r="G155" s="68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68"/>
      <c r="G156" s="68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68"/>
      <c r="G157" s="68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68"/>
      <c r="G158" s="68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68"/>
      <c r="G159" s="68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68"/>
      <c r="G160" s="68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68"/>
      <c r="G161" s="68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68"/>
      <c r="G162" s="68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68"/>
      <c r="G163" s="68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68"/>
      <c r="G164" s="68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68"/>
      <c r="G165" s="68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68"/>
      <c r="G166" s="68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68"/>
      <c r="G167" s="68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68"/>
      <c r="G168" s="68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68"/>
      <c r="G169" s="68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68"/>
      <c r="G170" s="68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68"/>
      <c r="G171" s="68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68"/>
      <c r="G172" s="68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68"/>
      <c r="G173" s="68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68"/>
      <c r="G174" s="68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68"/>
      <c r="G175" s="68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68"/>
      <c r="G176" s="68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68"/>
      <c r="G177" s="68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68"/>
      <c r="G178" s="68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68"/>
      <c r="G179" s="68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68"/>
      <c r="G180" s="68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68"/>
      <c r="G181" s="68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68"/>
      <c r="G182" s="68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68"/>
      <c r="G183" s="68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68"/>
      <c r="G184" s="68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68"/>
      <c r="G185" s="68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68"/>
      <c r="G186" s="68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68"/>
      <c r="G187" s="68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68"/>
      <c r="G188" s="68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68"/>
      <c r="G189" s="68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68"/>
      <c r="G190" s="68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68"/>
      <c r="G191" s="68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68"/>
      <c r="G192" s="68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68"/>
      <c r="G193" s="68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68"/>
      <c r="G194" s="68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68"/>
      <c r="G195" s="68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68"/>
      <c r="G196" s="68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68"/>
      <c r="G197" s="68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68"/>
      <c r="G198" s="68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68"/>
      <c r="G199" s="68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68"/>
      <c r="G200" s="68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68"/>
      <c r="G201" s="68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68"/>
      <c r="G202" s="68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68"/>
      <c r="G203" s="68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68"/>
      <c r="G204" s="68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68"/>
      <c r="G205" s="68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68"/>
      <c r="G206" s="68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68"/>
      <c r="G207" s="68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68"/>
      <c r="G208" s="68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68"/>
      <c r="G209" s="68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68"/>
      <c r="G210" s="68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68"/>
      <c r="G211" s="68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68"/>
      <c r="G212" s="68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6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6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6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6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6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6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6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6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6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6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6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6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6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6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6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6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6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6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6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6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6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6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6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6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6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6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6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6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6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6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6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6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6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6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6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6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6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6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6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6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6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6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6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6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6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6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6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6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6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6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6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6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6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6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6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6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6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6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6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6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6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6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6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6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6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6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6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6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6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6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6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6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6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6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6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6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6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6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6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6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6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6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6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6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6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6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6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6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6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6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6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6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6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6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6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6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6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6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6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6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6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6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6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6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6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6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6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6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6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6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6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6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6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6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6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6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6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6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6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6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6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6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6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6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6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6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6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6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6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6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6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6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6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6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6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6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6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6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6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6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6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6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6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6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6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6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6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6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6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6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6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6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6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6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6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6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6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6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6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6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6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6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6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6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6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6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6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6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6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6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6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6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6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6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6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6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6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6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6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6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6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6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6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6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6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6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6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6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6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6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6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6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6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6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6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6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6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6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6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6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6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6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6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6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6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6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6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6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6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6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6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6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6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6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6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6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6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6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6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6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6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6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6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6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6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6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6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6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6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6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6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6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6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6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6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6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6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6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6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6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6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6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6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6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6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6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6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6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6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6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6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6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6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6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6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6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6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6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6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6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6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6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6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6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6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6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6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6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6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6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6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6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6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6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6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6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6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6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6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6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6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6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6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6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6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6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6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6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6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6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6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6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6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6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6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6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6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6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6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6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6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6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6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6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6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6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6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6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6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6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6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6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6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6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6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6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6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6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6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6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6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6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6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6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6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6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6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6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6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6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6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6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6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6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6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6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6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6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6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6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6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6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6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6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6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6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6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6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6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6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6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6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6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6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6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6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6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6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6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6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6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6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6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6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6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6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6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6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6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6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6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6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6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6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6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6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6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6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6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6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6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6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6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6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6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6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6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6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6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6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6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6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6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6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6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6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6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6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6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6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6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6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6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6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6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6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6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6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6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6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6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6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6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6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6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6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6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6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6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6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6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6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6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6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6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6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6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6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6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6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6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6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6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6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6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6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6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6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6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6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6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6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6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6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6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6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6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6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6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6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6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6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6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6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6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6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6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6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6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6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6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6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6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6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6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6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6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6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6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6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6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6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6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6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6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6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6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6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6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6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6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6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6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6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6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6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6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6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6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6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6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6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6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6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6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6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6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6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6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6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6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6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6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6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6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6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6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6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6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6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6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6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6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6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6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6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6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6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6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6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6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6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6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6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6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6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6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6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6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6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6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6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6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6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6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6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6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6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6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6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6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6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6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6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6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6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6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6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6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6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6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6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6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6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6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6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6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6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6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6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6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6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6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6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6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6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6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6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6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6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6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6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6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6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6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6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6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6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6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6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6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6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6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6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6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6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6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6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6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6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6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6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6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6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6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6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6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6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6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6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6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6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6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6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6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6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6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6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6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6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6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6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6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6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6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6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6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6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6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6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6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6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6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6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6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6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6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6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6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6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6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6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6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6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6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6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6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6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6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6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6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6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6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6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6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6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6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6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6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6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6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6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6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6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6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6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6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6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6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6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6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6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6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6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6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6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6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6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6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6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6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6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6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6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6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6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6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6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6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6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6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6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6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6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6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6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6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6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6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6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6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6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6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6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6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6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6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6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6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6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6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6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6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6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6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6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6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6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6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6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6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6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6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6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6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6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6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6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6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6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6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6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6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6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6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6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6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6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6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6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6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6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6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6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6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6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6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6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6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6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6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6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6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6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6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6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6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6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6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6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6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6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6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6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6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6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6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6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6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86"/>
      <c r="V971" s="86"/>
      <c r="W971" s="86"/>
      <c r="X971" s="86"/>
      <c r="Y971" s="86"/>
      <c r="Z971" s="86"/>
    </row>
    <row r="972">
      <c r="A972" s="4"/>
      <c r="B972" s="4"/>
      <c r="C972" s="4"/>
      <c r="D972" s="4"/>
      <c r="E972" s="4"/>
      <c r="F972" s="4"/>
      <c r="G972" s="4"/>
      <c r="H972" s="6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86"/>
      <c r="V972" s="86"/>
      <c r="W972" s="86"/>
      <c r="X972" s="86"/>
      <c r="Y972" s="86"/>
      <c r="Z972" s="86"/>
    </row>
    <row r="973">
      <c r="A973" s="4"/>
      <c r="B973" s="4"/>
      <c r="C973" s="4"/>
      <c r="D973" s="4"/>
      <c r="E973" s="4"/>
      <c r="F973" s="4"/>
      <c r="G973" s="4"/>
      <c r="H973" s="6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86"/>
      <c r="V973" s="86"/>
      <c r="W973" s="86"/>
      <c r="X973" s="86"/>
      <c r="Y973" s="86"/>
      <c r="Z973" s="86"/>
    </row>
    <row r="974">
      <c r="A974" s="4"/>
      <c r="B974" s="4"/>
      <c r="C974" s="4"/>
      <c r="D974" s="4"/>
      <c r="E974" s="4"/>
      <c r="F974" s="4"/>
      <c r="G974" s="4"/>
      <c r="H974" s="6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86"/>
      <c r="V974" s="86"/>
      <c r="W974" s="86"/>
      <c r="X974" s="86"/>
      <c r="Y974" s="86"/>
      <c r="Z974" s="86"/>
    </row>
    <row r="975">
      <c r="A975" s="4"/>
      <c r="B975" s="4"/>
      <c r="C975" s="4"/>
      <c r="D975" s="4"/>
      <c r="E975" s="4"/>
      <c r="F975" s="4"/>
      <c r="G975" s="4"/>
      <c r="H975" s="6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86"/>
      <c r="V975" s="86"/>
      <c r="W975" s="86"/>
      <c r="X975" s="86"/>
      <c r="Y975" s="86"/>
      <c r="Z975" s="86"/>
    </row>
    <row r="976">
      <c r="A976" s="4"/>
      <c r="B976" s="4"/>
      <c r="C976" s="4"/>
      <c r="D976" s="4"/>
      <c r="E976" s="4"/>
      <c r="F976" s="4"/>
      <c r="G976" s="4"/>
      <c r="H976" s="6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86"/>
      <c r="V976" s="86"/>
      <c r="W976" s="86"/>
      <c r="X976" s="86"/>
      <c r="Y976" s="86"/>
      <c r="Z976" s="86"/>
    </row>
    <row r="977">
      <c r="A977" s="4"/>
      <c r="B977" s="4"/>
      <c r="C977" s="4"/>
      <c r="D977" s="4"/>
      <c r="E977" s="4"/>
      <c r="F977" s="4"/>
      <c r="G977" s="4"/>
      <c r="H977" s="6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86"/>
      <c r="V977" s="86"/>
      <c r="W977" s="86"/>
      <c r="X977" s="86"/>
      <c r="Y977" s="86"/>
      <c r="Z977" s="86"/>
    </row>
    <row r="978">
      <c r="A978" s="4"/>
      <c r="B978" s="4"/>
      <c r="C978" s="4"/>
      <c r="D978" s="4"/>
      <c r="E978" s="4"/>
      <c r="F978" s="4"/>
      <c r="G978" s="4"/>
      <c r="H978" s="6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86"/>
      <c r="V978" s="86"/>
      <c r="W978" s="86"/>
      <c r="X978" s="86"/>
      <c r="Y978" s="86"/>
      <c r="Z978" s="86"/>
    </row>
    <row r="979">
      <c r="A979" s="4"/>
      <c r="B979" s="4"/>
      <c r="C979" s="4"/>
      <c r="D979" s="4"/>
      <c r="E979" s="4"/>
      <c r="F979" s="4"/>
      <c r="G979" s="4"/>
      <c r="H979" s="6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86"/>
      <c r="V979" s="86"/>
      <c r="W979" s="86"/>
      <c r="X979" s="86"/>
      <c r="Y979" s="86"/>
      <c r="Z979" s="86"/>
    </row>
    <row r="980">
      <c r="A980" s="4"/>
      <c r="B980" s="4"/>
      <c r="C980" s="4"/>
      <c r="D980" s="4"/>
      <c r="E980" s="4"/>
      <c r="F980" s="4"/>
      <c r="G980" s="4"/>
      <c r="H980" s="6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86"/>
      <c r="V980" s="86"/>
      <c r="W980" s="86"/>
      <c r="X980" s="86"/>
      <c r="Y980" s="86"/>
      <c r="Z980" s="86"/>
    </row>
    <row r="981">
      <c r="A981" s="4"/>
      <c r="B981" s="4"/>
      <c r="C981" s="4"/>
      <c r="D981" s="4"/>
      <c r="E981" s="4"/>
      <c r="F981" s="4"/>
      <c r="G981" s="4"/>
      <c r="H981" s="6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86"/>
      <c r="V981" s="86"/>
      <c r="W981" s="86"/>
      <c r="X981" s="86"/>
      <c r="Y981" s="86"/>
      <c r="Z981" s="86"/>
    </row>
    <row r="982">
      <c r="A982" s="4"/>
      <c r="B982" s="4"/>
      <c r="C982" s="4"/>
      <c r="D982" s="4"/>
      <c r="E982" s="4"/>
      <c r="F982" s="4"/>
      <c r="G982" s="4"/>
      <c r="H982" s="6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86"/>
      <c r="V982" s="86"/>
      <c r="W982" s="86"/>
      <c r="X982" s="86"/>
      <c r="Y982" s="86"/>
      <c r="Z982" s="86"/>
    </row>
    <row r="983">
      <c r="A983" s="4"/>
      <c r="B983" s="4"/>
      <c r="C983" s="4"/>
      <c r="D983" s="4"/>
      <c r="E983" s="4"/>
      <c r="F983" s="4"/>
      <c r="G983" s="4"/>
      <c r="H983" s="6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86"/>
      <c r="V983" s="86"/>
      <c r="W983" s="86"/>
      <c r="X983" s="86"/>
      <c r="Y983" s="86"/>
      <c r="Z983" s="86"/>
    </row>
    <row r="984">
      <c r="A984" s="4"/>
      <c r="B984" s="4"/>
      <c r="C984" s="4"/>
      <c r="D984" s="4"/>
      <c r="E984" s="4"/>
      <c r="F984" s="4"/>
      <c r="G984" s="4"/>
      <c r="H984" s="6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86"/>
      <c r="V984" s="86"/>
      <c r="W984" s="86"/>
      <c r="X984" s="86"/>
      <c r="Y984" s="86"/>
      <c r="Z984" s="86"/>
    </row>
    <row r="985">
      <c r="A985" s="4"/>
      <c r="B985" s="4"/>
      <c r="C985" s="4"/>
      <c r="D985" s="4"/>
      <c r="E985" s="4"/>
      <c r="F985" s="4"/>
      <c r="G985" s="4"/>
      <c r="H985" s="6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86"/>
      <c r="V985" s="86"/>
      <c r="W985" s="86"/>
      <c r="X985" s="86"/>
      <c r="Y985" s="86"/>
      <c r="Z985" s="86"/>
    </row>
    <row r="986">
      <c r="A986" s="4"/>
      <c r="B986" s="4"/>
      <c r="C986" s="4"/>
      <c r="D986" s="4"/>
      <c r="E986" s="4"/>
      <c r="F986" s="4"/>
      <c r="G986" s="4"/>
      <c r="H986" s="6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86"/>
      <c r="V986" s="86"/>
      <c r="W986" s="86"/>
      <c r="X986" s="86"/>
      <c r="Y986" s="86"/>
      <c r="Z986" s="86"/>
    </row>
    <row r="987">
      <c r="A987" s="4"/>
      <c r="B987" s="4"/>
      <c r="C987" s="4"/>
      <c r="D987" s="4"/>
      <c r="E987" s="4"/>
      <c r="F987" s="4"/>
      <c r="G987" s="4"/>
      <c r="H987" s="6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86"/>
      <c r="V987" s="86"/>
      <c r="W987" s="86"/>
      <c r="X987" s="86"/>
      <c r="Y987" s="86"/>
      <c r="Z987" s="86"/>
    </row>
    <row r="988">
      <c r="A988" s="4"/>
      <c r="B988" s="4"/>
      <c r="C988" s="4"/>
      <c r="D988" s="4"/>
      <c r="E988" s="4"/>
      <c r="F988" s="4"/>
      <c r="G988" s="4"/>
      <c r="H988" s="6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86"/>
      <c r="V988" s="86"/>
      <c r="W988" s="86"/>
      <c r="X988" s="86"/>
      <c r="Y988" s="86"/>
      <c r="Z988" s="86"/>
    </row>
    <row r="989">
      <c r="A989" s="4"/>
      <c r="B989" s="4"/>
      <c r="C989" s="4"/>
      <c r="D989" s="4"/>
      <c r="E989" s="4"/>
      <c r="F989" s="4"/>
      <c r="G989" s="4"/>
      <c r="H989" s="6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86"/>
      <c r="V989" s="86"/>
      <c r="W989" s="86"/>
      <c r="X989" s="86"/>
      <c r="Y989" s="86"/>
      <c r="Z989" s="86"/>
    </row>
    <row r="990">
      <c r="A990" s="4"/>
      <c r="B990" s="4"/>
      <c r="C990" s="4"/>
      <c r="D990" s="4"/>
      <c r="E990" s="4"/>
      <c r="F990" s="4"/>
      <c r="G990" s="4"/>
      <c r="H990" s="6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86"/>
      <c r="V990" s="86"/>
      <c r="W990" s="86"/>
      <c r="X990" s="86"/>
      <c r="Y990" s="86"/>
      <c r="Z990" s="86"/>
    </row>
    <row r="991">
      <c r="A991" s="4"/>
      <c r="B991" s="4"/>
      <c r="C991" s="4"/>
      <c r="D991" s="4"/>
      <c r="E991" s="4"/>
      <c r="F991" s="4"/>
      <c r="G991" s="4"/>
      <c r="H991" s="6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86"/>
      <c r="V991" s="86"/>
      <c r="W991" s="86"/>
      <c r="X991" s="86"/>
      <c r="Y991" s="86"/>
      <c r="Z991" s="86"/>
    </row>
    <row r="992">
      <c r="A992" s="4"/>
      <c r="B992" s="4"/>
      <c r="C992" s="4"/>
      <c r="D992" s="4"/>
      <c r="E992" s="4"/>
      <c r="F992" s="4"/>
      <c r="G992" s="4"/>
      <c r="H992" s="6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86"/>
      <c r="V992" s="86"/>
      <c r="W992" s="86"/>
      <c r="X992" s="86"/>
      <c r="Y992" s="86"/>
      <c r="Z992" s="86"/>
    </row>
    <row r="993">
      <c r="A993" s="4"/>
      <c r="B993" s="4"/>
      <c r="C993" s="4"/>
      <c r="D993" s="4"/>
      <c r="E993" s="4"/>
      <c r="F993" s="4"/>
      <c r="G993" s="4"/>
      <c r="H993" s="68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86"/>
      <c r="V993" s="86"/>
      <c r="W993" s="86"/>
      <c r="X993" s="86"/>
      <c r="Y993" s="86"/>
      <c r="Z993" s="86"/>
    </row>
    <row r="994">
      <c r="A994" s="4"/>
      <c r="B994" s="4"/>
      <c r="C994" s="4"/>
      <c r="D994" s="4"/>
      <c r="E994" s="4"/>
      <c r="F994" s="4"/>
      <c r="G994" s="4"/>
      <c r="H994" s="68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86"/>
      <c r="V994" s="86"/>
      <c r="W994" s="86"/>
      <c r="X994" s="86"/>
      <c r="Y994" s="86"/>
      <c r="Z994" s="86"/>
    </row>
    <row r="995">
      <c r="A995" s="4"/>
      <c r="B995" s="4"/>
      <c r="C995" s="4"/>
      <c r="D995" s="4"/>
      <c r="E995" s="4"/>
      <c r="F995" s="4"/>
      <c r="G995" s="4"/>
      <c r="H995" s="87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86"/>
      <c r="V995" s="86"/>
      <c r="W995" s="86"/>
      <c r="X995" s="86"/>
      <c r="Y995" s="86"/>
      <c r="Z995" s="86"/>
    </row>
    <row r="996">
      <c r="A996" s="4"/>
      <c r="B996" s="4"/>
      <c r="C996" s="4"/>
      <c r="D996" s="4"/>
      <c r="E996" s="4"/>
      <c r="F996" s="4"/>
      <c r="G996" s="4"/>
      <c r="H996" s="87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86"/>
      <c r="V996" s="86"/>
      <c r="W996" s="86"/>
      <c r="X996" s="86"/>
      <c r="Y996" s="86"/>
      <c r="Z996" s="86"/>
    </row>
    <row r="997">
      <c r="A997" s="4"/>
      <c r="B997" s="4"/>
      <c r="C997" s="4"/>
      <c r="D997" s="4"/>
      <c r="E997" s="4"/>
      <c r="F997" s="4"/>
      <c r="G997" s="4"/>
      <c r="H997" s="87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86"/>
      <c r="V997" s="86"/>
      <c r="W997" s="86"/>
      <c r="X997" s="86"/>
      <c r="Y997" s="86"/>
      <c r="Z997" s="86"/>
    </row>
    <row r="998">
      <c r="A998" s="4"/>
      <c r="B998" s="4"/>
      <c r="C998" s="4"/>
      <c r="D998" s="4"/>
      <c r="E998" s="4"/>
      <c r="F998" s="4"/>
      <c r="G998" s="4"/>
      <c r="H998" s="87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86"/>
      <c r="V998" s="86"/>
      <c r="W998" s="86"/>
      <c r="X998" s="86"/>
      <c r="Y998" s="86"/>
      <c r="Z998" s="86"/>
    </row>
    <row r="999">
      <c r="A999" s="4"/>
      <c r="B999" s="4"/>
      <c r="C999" s="4"/>
      <c r="D999" s="4"/>
      <c r="E999" s="4"/>
      <c r="F999" s="4"/>
      <c r="G999" s="4"/>
      <c r="H999" s="87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86"/>
      <c r="V999" s="86"/>
      <c r="W999" s="86"/>
      <c r="X999" s="86"/>
      <c r="Y999" s="86"/>
      <c r="Z999" s="86"/>
    </row>
    <row r="1000">
      <c r="A1000" s="4"/>
      <c r="B1000" s="4"/>
      <c r="C1000" s="4"/>
      <c r="D1000" s="4"/>
      <c r="E1000" s="4"/>
      <c r="F1000" s="4"/>
      <c r="G1000" s="4"/>
      <c r="H1000" s="87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86"/>
      <c r="V1000" s="86"/>
      <c r="W1000" s="86"/>
      <c r="X1000" s="86"/>
      <c r="Y1000" s="86"/>
      <c r="Z1000" s="86"/>
    </row>
    <row r="1001">
      <c r="A1001" s="4"/>
      <c r="B1001" s="4"/>
      <c r="C1001" s="4"/>
      <c r="D1001" s="4"/>
      <c r="E1001" s="4"/>
      <c r="F1001" s="4"/>
      <c r="G1001" s="4"/>
      <c r="H1001" s="87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86"/>
      <c r="V1001" s="86"/>
      <c r="W1001" s="86"/>
      <c r="X1001" s="86"/>
      <c r="Y1001" s="86"/>
      <c r="Z1001" s="86"/>
    </row>
    <row r="1002">
      <c r="A1002" s="4"/>
      <c r="B1002" s="4"/>
      <c r="C1002" s="4"/>
      <c r="D1002" s="4"/>
      <c r="E1002" s="4"/>
      <c r="F1002" s="4"/>
      <c r="G1002" s="4"/>
      <c r="H1002" s="87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86"/>
      <c r="V1002" s="86"/>
      <c r="W1002" s="86"/>
      <c r="X1002" s="86"/>
      <c r="Y1002" s="86"/>
      <c r="Z1002" s="86"/>
    </row>
    <row r="1003">
      <c r="A1003" s="4"/>
      <c r="B1003" s="4"/>
      <c r="C1003" s="4"/>
      <c r="D1003" s="4"/>
      <c r="E1003" s="4"/>
      <c r="F1003" s="4"/>
      <c r="G1003" s="4"/>
      <c r="H1003" s="87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86"/>
      <c r="V1003" s="86"/>
      <c r="W1003" s="86"/>
      <c r="X1003" s="86"/>
      <c r="Y1003" s="86"/>
      <c r="Z1003" s="86"/>
    </row>
    <row r="1004">
      <c r="A1004" s="4"/>
      <c r="B1004" s="4"/>
      <c r="C1004" s="4"/>
      <c r="D1004" s="4"/>
      <c r="E1004" s="4"/>
      <c r="F1004" s="4"/>
      <c r="G1004" s="4"/>
      <c r="H1004" s="87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86"/>
      <c r="V1004" s="86"/>
      <c r="W1004" s="86"/>
      <c r="X1004" s="86"/>
      <c r="Y1004" s="86"/>
      <c r="Z1004" s="86"/>
    </row>
    <row r="1005">
      <c r="A1005" s="4"/>
      <c r="B1005" s="4"/>
      <c r="C1005" s="4"/>
      <c r="D1005" s="4"/>
      <c r="E1005" s="4"/>
      <c r="F1005" s="4"/>
      <c r="G1005" s="4"/>
      <c r="H1005" s="87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86"/>
      <c r="V1005" s="86"/>
      <c r="W1005" s="86"/>
      <c r="X1005" s="86"/>
      <c r="Y1005" s="86"/>
      <c r="Z1005" s="86"/>
    </row>
  </sheetData>
  <autoFilter ref="$A$7:$G$212">
    <sortState ref="A7:G212">
      <sortCondition ref="D7:D212"/>
    </sortState>
  </autoFilter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61" t="s">
        <v>25</v>
      </c>
      <c r="C1" s="62" t="s">
        <v>26</v>
      </c>
      <c r="D1" s="63" t="s">
        <v>20</v>
      </c>
      <c r="E1" s="64" t="s">
        <v>21</v>
      </c>
      <c r="F1" s="65" t="s">
        <v>22</v>
      </c>
      <c r="G1" s="66" t="s">
        <v>23</v>
      </c>
      <c r="H1" s="67" t="s">
        <v>24</v>
      </c>
      <c r="I1" s="6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1" t="s">
        <v>27</v>
      </c>
      <c r="B2" s="69">
        <f>SUM(G7:G962)</f>
        <v>0</v>
      </c>
      <c r="C2" s="70">
        <f>SUMIF(F8:F960,"MÉDIA MULTI-ANNONCEURS",G8:G960)</f>
        <v>0</v>
      </c>
      <c r="D2" s="71">
        <f>SUMIF(F8:F960,"PROMOTIONNEL",G8:G960)</f>
        <v>0</v>
      </c>
      <c r="E2" s="72">
        <f>SUMIF(F8:F960,"DIST. PUBLICITAIRE SOLO",G8:G960)</f>
        <v>0</v>
      </c>
      <c r="F2" s="73">
        <f>SUMIF(F8:F960,"AGENCE PUB",G8:G960)</f>
        <v>0</v>
      </c>
      <c r="G2" s="74">
        <f>SUMIF(F8:F960,"AGENCE WEB",G8:G960)</f>
        <v>0</v>
      </c>
      <c r="H2" s="75">
        <f>SUMIF(F8:F960,"SERVICES IA",G8:G960)</f>
        <v>0</v>
      </c>
      <c r="I2" s="6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6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1" t="s">
        <v>28</v>
      </c>
      <c r="B4" s="69">
        <f>SUM(B8:B962)</f>
        <v>0</v>
      </c>
      <c r="C4" s="70">
        <f>SUMIF(F8:F960,"MÉDIA MULTI-ANNONCEURS",B8:B960)</f>
        <v>0</v>
      </c>
      <c r="D4" s="71">
        <f>SUMIF(F8:F960,"PROMOTIONNEL",B8:B960)</f>
        <v>0</v>
      </c>
      <c r="E4" s="72">
        <f>SUMIF(F8:F960,"DIST. PUBLICITAIRE SOLO",B8:B960)</f>
        <v>0</v>
      </c>
      <c r="F4" s="73">
        <f>SUMIF(F8:F960,"AGENCE PUB",B8:B960)</f>
        <v>0</v>
      </c>
      <c r="G4" s="74">
        <f>SUMIF(F8:F960,"AGENCE WEB",B8:B960)</f>
        <v>0</v>
      </c>
      <c r="H4" s="75">
        <f>SUMIF(F8:F960,"SERVICES IA",B8:B960)</f>
        <v>0</v>
      </c>
      <c r="I4" s="6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6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68"/>
      <c r="C6" s="68"/>
      <c r="D6" s="68"/>
      <c r="E6" s="68"/>
      <c r="F6" s="68"/>
      <c r="G6" s="68"/>
      <c r="H6" s="4"/>
      <c r="I6" s="6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1" t="s">
        <v>29</v>
      </c>
      <c r="B7" s="76" t="s">
        <v>30</v>
      </c>
      <c r="C7" s="77" t="s">
        <v>31</v>
      </c>
      <c r="D7" s="77" t="s">
        <v>32</v>
      </c>
      <c r="E7" s="76" t="s">
        <v>33</v>
      </c>
      <c r="F7" s="78" t="s">
        <v>34</v>
      </c>
      <c r="G7" s="78" t="s">
        <v>35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9"/>
      <c r="B8" s="80"/>
      <c r="C8" s="81"/>
      <c r="D8" s="82"/>
      <c r="E8" s="83"/>
      <c r="F8" s="79"/>
      <c r="G8" s="68">
        <f t="shared" ref="G8:G166" si="1">B8*0.1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79"/>
      <c r="B9" s="80"/>
      <c r="C9" s="79"/>
      <c r="D9" s="89"/>
      <c r="E9" s="83"/>
      <c r="F9" s="83"/>
      <c r="G9" s="68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79"/>
      <c r="B10" s="80"/>
      <c r="C10" s="79"/>
      <c r="D10" s="89"/>
      <c r="E10" s="83"/>
      <c r="F10" s="79"/>
      <c r="G10" s="68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79"/>
      <c r="B11" s="80"/>
      <c r="C11" s="79"/>
      <c r="D11" s="89"/>
      <c r="E11" s="83"/>
      <c r="F11" s="79"/>
      <c r="G11" s="68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79"/>
      <c r="B12" s="80"/>
      <c r="C12" s="79"/>
      <c r="D12" s="89"/>
      <c r="E12" s="83"/>
      <c r="F12" s="79"/>
      <c r="G12" s="68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79"/>
      <c r="B13" s="80"/>
      <c r="C13" s="79"/>
      <c r="D13" s="89"/>
      <c r="E13" s="83"/>
      <c r="F13" s="79"/>
      <c r="G13" s="68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79"/>
      <c r="B14" s="80"/>
      <c r="C14" s="79"/>
      <c r="D14" s="89"/>
      <c r="E14" s="83"/>
      <c r="F14" s="79"/>
      <c r="G14" s="68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79"/>
      <c r="B15" s="80"/>
      <c r="C15" s="79"/>
      <c r="D15" s="89"/>
      <c r="E15" s="83"/>
      <c r="F15" s="79"/>
      <c r="G15" s="68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90"/>
      <c r="B16" s="80"/>
      <c r="C16" s="91"/>
      <c r="D16" s="92"/>
      <c r="E16" s="93"/>
      <c r="F16" s="11"/>
      <c r="G16" s="68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90"/>
      <c r="B17" s="80"/>
      <c r="C17" s="91"/>
      <c r="D17" s="92"/>
      <c r="E17" s="93"/>
      <c r="F17" s="11"/>
      <c r="G17" s="68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90"/>
      <c r="B18" s="80"/>
      <c r="C18" s="91"/>
      <c r="D18" s="92"/>
      <c r="E18" s="93"/>
      <c r="F18" s="11"/>
      <c r="G18" s="68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94"/>
      <c r="B19" s="95"/>
      <c r="C19" s="96"/>
      <c r="D19" s="97"/>
      <c r="E19" s="85"/>
      <c r="F19" s="4"/>
      <c r="G19" s="68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98"/>
      <c r="B20" s="95"/>
      <c r="C20" s="96"/>
      <c r="D20" s="97"/>
      <c r="E20" s="85"/>
      <c r="F20" s="4"/>
      <c r="G20" s="68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98"/>
      <c r="B21" s="95"/>
      <c r="C21" s="96"/>
      <c r="D21" s="97"/>
      <c r="E21" s="85"/>
      <c r="F21" s="4"/>
      <c r="G21" s="68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94"/>
      <c r="B22" s="95"/>
      <c r="C22" s="96"/>
      <c r="D22" s="97"/>
      <c r="E22" s="85"/>
      <c r="F22" s="4"/>
      <c r="G22" s="68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98"/>
      <c r="B23" s="95"/>
      <c r="C23" s="25"/>
      <c r="D23" s="84"/>
      <c r="E23" s="85"/>
      <c r="F23" s="4"/>
      <c r="G23" s="68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98"/>
      <c r="B24" s="95"/>
      <c r="C24" s="25"/>
      <c r="D24" s="84"/>
      <c r="E24" s="85"/>
      <c r="F24" s="4"/>
      <c r="G24" s="68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98"/>
      <c r="B25" s="95"/>
      <c r="C25" s="25"/>
      <c r="D25" s="84"/>
      <c r="E25" s="85"/>
      <c r="F25" s="4"/>
      <c r="G25" s="68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98"/>
      <c r="B26" s="25"/>
      <c r="C26" s="25"/>
      <c r="D26" s="84"/>
      <c r="E26" s="85"/>
      <c r="F26" s="4"/>
      <c r="G26" s="68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98"/>
      <c r="B27" s="25"/>
      <c r="C27" s="25"/>
      <c r="D27" s="84"/>
      <c r="E27" s="85"/>
      <c r="F27" s="4"/>
      <c r="G27" s="68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98"/>
      <c r="B28" s="25"/>
      <c r="C28" s="25"/>
      <c r="D28" s="84"/>
      <c r="E28" s="85"/>
      <c r="F28" s="4"/>
      <c r="G28" s="68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84"/>
      <c r="B29" s="25"/>
      <c r="C29" s="25"/>
      <c r="D29" s="25"/>
      <c r="E29" s="85"/>
      <c r="F29" s="4"/>
      <c r="G29" s="68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84"/>
      <c r="B30" s="25"/>
      <c r="C30" s="25"/>
      <c r="D30" s="25"/>
      <c r="E30" s="85"/>
      <c r="F30" s="4"/>
      <c r="G30" s="68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84"/>
      <c r="B31" s="25"/>
      <c r="C31" s="25"/>
      <c r="D31" s="25"/>
      <c r="E31" s="85"/>
      <c r="F31" s="4"/>
      <c r="G31" s="68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84"/>
      <c r="B32" s="25"/>
      <c r="C32" s="25"/>
      <c r="D32" s="25"/>
      <c r="E32" s="85"/>
      <c r="F32" s="4"/>
      <c r="G32" s="68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84"/>
      <c r="B33" s="25"/>
      <c r="C33" s="25"/>
      <c r="D33" s="25"/>
      <c r="E33" s="85"/>
      <c r="F33" s="4"/>
      <c r="G33" s="68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84"/>
      <c r="B34" s="25"/>
      <c r="C34" s="25"/>
      <c r="D34" s="25"/>
      <c r="E34" s="85"/>
      <c r="F34" s="4"/>
      <c r="G34" s="68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84"/>
      <c r="B35" s="25"/>
      <c r="C35" s="25"/>
      <c r="D35" s="25"/>
      <c r="E35" s="85"/>
      <c r="F35" s="4"/>
      <c r="G35" s="68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84"/>
      <c r="B36" s="25"/>
      <c r="C36" s="25"/>
      <c r="D36" s="25"/>
      <c r="E36" s="85"/>
      <c r="F36" s="4"/>
      <c r="G36" s="68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84"/>
      <c r="B37" s="25"/>
      <c r="C37" s="25"/>
      <c r="D37" s="25"/>
      <c r="E37" s="85"/>
      <c r="F37" s="4"/>
      <c r="G37" s="68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85"/>
      <c r="F38" s="4"/>
      <c r="G38" s="68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85"/>
      <c r="F39" s="4"/>
      <c r="G39" s="68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85"/>
      <c r="F40" s="4"/>
      <c r="G40" s="68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85"/>
      <c r="F41" s="4"/>
      <c r="G41" s="68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85"/>
      <c r="F42" s="4"/>
      <c r="G42" s="68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85"/>
      <c r="F43" s="4"/>
      <c r="G43" s="68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85"/>
      <c r="F44" s="4"/>
      <c r="G44" s="68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85"/>
      <c r="F45" s="4"/>
      <c r="G45" s="68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85"/>
      <c r="F46" s="4"/>
      <c r="G46" s="68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85"/>
      <c r="F47" s="4"/>
      <c r="G47" s="68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85"/>
      <c r="F48" s="4"/>
      <c r="G48" s="68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85"/>
      <c r="F49" s="4"/>
      <c r="G49" s="68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85"/>
      <c r="F50" s="4"/>
      <c r="G50" s="68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85"/>
      <c r="F51" s="4"/>
      <c r="G51" s="68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85"/>
      <c r="F52" s="4"/>
      <c r="G52" s="68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85"/>
      <c r="F53" s="4"/>
      <c r="G53" s="68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85"/>
      <c r="F54" s="4"/>
      <c r="G54" s="68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85"/>
      <c r="F55" s="4"/>
      <c r="G55" s="68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85"/>
      <c r="F56" s="4"/>
      <c r="G56" s="68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85"/>
      <c r="F57" s="4"/>
      <c r="G57" s="68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85"/>
      <c r="F58" s="4"/>
      <c r="G58" s="68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85"/>
      <c r="F59" s="4"/>
      <c r="G59" s="68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85"/>
      <c r="F60" s="4"/>
      <c r="G60" s="68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85"/>
      <c r="F61" s="4"/>
      <c r="G61" s="68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85"/>
      <c r="F62" s="4"/>
      <c r="G62" s="68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85"/>
      <c r="F63" s="4"/>
      <c r="G63" s="68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85"/>
      <c r="F64" s="4"/>
      <c r="G64" s="68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85"/>
      <c r="F65" s="4"/>
      <c r="G65" s="68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85"/>
      <c r="F66" s="4"/>
      <c r="G66" s="68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85"/>
      <c r="F67" s="4"/>
      <c r="G67" s="68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85"/>
      <c r="F68" s="4"/>
      <c r="G68" s="68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85"/>
      <c r="F69" s="4"/>
      <c r="G69" s="68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85"/>
      <c r="F70" s="4"/>
      <c r="G70" s="68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85"/>
      <c r="F71" s="4"/>
      <c r="G71" s="68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85"/>
      <c r="F72" s="4"/>
      <c r="G72" s="68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85"/>
      <c r="F73" s="4"/>
      <c r="G73" s="68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85"/>
      <c r="F74" s="4"/>
      <c r="G74" s="68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85"/>
      <c r="F75" s="4"/>
      <c r="G75" s="68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85"/>
      <c r="F76" s="4"/>
      <c r="G76" s="68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85"/>
      <c r="F77" s="4"/>
      <c r="G77" s="68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85"/>
      <c r="F78" s="4"/>
      <c r="G78" s="68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85"/>
      <c r="F79" s="4"/>
      <c r="G79" s="68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85"/>
      <c r="F80" s="4"/>
      <c r="G80" s="68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85"/>
      <c r="F81" s="4"/>
      <c r="G81" s="68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85"/>
      <c r="F82" s="4"/>
      <c r="G82" s="68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85"/>
      <c r="F83" s="4"/>
      <c r="G83" s="68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85"/>
      <c r="F84" s="4"/>
      <c r="G84" s="68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85"/>
      <c r="F85" s="4"/>
      <c r="G85" s="68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85"/>
      <c r="F86" s="4"/>
      <c r="G86" s="68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85"/>
      <c r="F87" s="4"/>
      <c r="G87" s="68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85"/>
      <c r="F88" s="4"/>
      <c r="G88" s="68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85"/>
      <c r="F89" s="4"/>
      <c r="G89" s="68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85"/>
      <c r="F90" s="4"/>
      <c r="G90" s="68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85"/>
      <c r="F91" s="4"/>
      <c r="G91" s="68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85"/>
      <c r="F92" s="4"/>
      <c r="G92" s="68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85"/>
      <c r="F93" s="4"/>
      <c r="G93" s="68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85"/>
      <c r="F94" s="4"/>
      <c r="G94" s="68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85"/>
      <c r="F95" s="4"/>
      <c r="G95" s="68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85"/>
      <c r="F96" s="4"/>
      <c r="G96" s="68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85"/>
      <c r="F97" s="4"/>
      <c r="G97" s="68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85"/>
      <c r="F98" s="4"/>
      <c r="G98" s="68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85"/>
      <c r="F99" s="4"/>
      <c r="G99" s="68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85"/>
      <c r="F100" s="4"/>
      <c r="G100" s="68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85"/>
      <c r="F101" s="4"/>
      <c r="G101" s="68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85"/>
      <c r="F102" s="4"/>
      <c r="G102" s="68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85"/>
      <c r="F103" s="4"/>
      <c r="G103" s="68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85"/>
      <c r="F104" s="4"/>
      <c r="G104" s="68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85"/>
      <c r="F105" s="4"/>
      <c r="G105" s="68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85"/>
      <c r="F106" s="4"/>
      <c r="G106" s="68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85"/>
      <c r="F107" s="4"/>
      <c r="G107" s="68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85"/>
      <c r="F108" s="4"/>
      <c r="G108" s="68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85"/>
      <c r="F109" s="4"/>
      <c r="G109" s="68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85"/>
      <c r="F110" s="4"/>
      <c r="G110" s="68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85"/>
      <c r="F111" s="4"/>
      <c r="G111" s="68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85"/>
      <c r="F112" s="4"/>
      <c r="G112" s="68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85"/>
      <c r="F113" s="4"/>
      <c r="G113" s="68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85"/>
      <c r="F114" s="4"/>
      <c r="G114" s="68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85"/>
      <c r="F115" s="4"/>
      <c r="G115" s="68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85"/>
      <c r="F116" s="4"/>
      <c r="G116" s="68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85"/>
      <c r="F117" s="4"/>
      <c r="G117" s="68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85"/>
      <c r="F118" s="4"/>
      <c r="G118" s="68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85"/>
      <c r="F119" s="4"/>
      <c r="G119" s="68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85"/>
      <c r="F120" s="4"/>
      <c r="G120" s="68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85"/>
      <c r="F121" s="4"/>
      <c r="G121" s="68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85"/>
      <c r="F122" s="4"/>
      <c r="G122" s="68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85"/>
      <c r="F123" s="4"/>
      <c r="G123" s="68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85"/>
      <c r="F124" s="4"/>
      <c r="G124" s="68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85"/>
      <c r="F125" s="4"/>
      <c r="G125" s="68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85"/>
      <c r="F126" s="4"/>
      <c r="G126" s="68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85"/>
      <c r="F127" s="4"/>
      <c r="G127" s="68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85"/>
      <c r="F128" s="4"/>
      <c r="G128" s="68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85"/>
      <c r="F129" s="4"/>
      <c r="G129" s="68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85"/>
      <c r="F130" s="4"/>
      <c r="G130" s="68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85"/>
      <c r="F131" s="4"/>
      <c r="G131" s="68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85"/>
      <c r="F132" s="4"/>
      <c r="G132" s="68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85"/>
      <c r="F133" s="4"/>
      <c r="G133" s="68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85"/>
      <c r="F134" s="4"/>
      <c r="G134" s="68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85"/>
      <c r="F135" s="4"/>
      <c r="G135" s="68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85"/>
      <c r="F136" s="4"/>
      <c r="G136" s="68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85"/>
      <c r="F137" s="4"/>
      <c r="G137" s="68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85"/>
      <c r="F138" s="4"/>
      <c r="G138" s="68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85"/>
      <c r="F139" s="4"/>
      <c r="G139" s="68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85"/>
      <c r="F140" s="4"/>
      <c r="G140" s="68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85"/>
      <c r="F141" s="4"/>
      <c r="G141" s="68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85"/>
      <c r="F142" s="4"/>
      <c r="G142" s="68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85"/>
      <c r="F143" s="4"/>
      <c r="G143" s="68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85"/>
      <c r="F144" s="4"/>
      <c r="G144" s="68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68"/>
      <c r="G145" s="68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68"/>
      <c r="G146" s="68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68"/>
      <c r="G147" s="68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68"/>
      <c r="G148" s="68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68"/>
      <c r="G149" s="68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68"/>
      <c r="G150" s="68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68"/>
      <c r="G151" s="68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68"/>
      <c r="G152" s="68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68"/>
      <c r="G153" s="68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68"/>
      <c r="G154" s="68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68"/>
      <c r="G155" s="68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68"/>
      <c r="G156" s="68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68"/>
      <c r="G157" s="68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68"/>
      <c r="G158" s="68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68"/>
      <c r="G159" s="68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68"/>
      <c r="G160" s="68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68"/>
      <c r="G161" s="68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68"/>
      <c r="G162" s="68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68"/>
      <c r="G163" s="68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68"/>
      <c r="G164" s="68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68"/>
      <c r="G165" s="68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68"/>
      <c r="G166" s="68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68"/>
      <c r="G167" s="68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68"/>
      <c r="G168" s="68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68"/>
      <c r="G169" s="68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68"/>
      <c r="G170" s="68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68"/>
      <c r="G171" s="68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68"/>
      <c r="G172" s="68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68"/>
      <c r="G173" s="68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68"/>
      <c r="G174" s="68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68"/>
      <c r="G175" s="68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68"/>
      <c r="G176" s="68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68"/>
      <c r="G177" s="68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68"/>
      <c r="G178" s="68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68"/>
      <c r="G179" s="68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68"/>
      <c r="G180" s="68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68"/>
      <c r="G181" s="68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68"/>
      <c r="G182" s="68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68"/>
      <c r="G183" s="68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68"/>
      <c r="G184" s="68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68"/>
      <c r="G185" s="68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68"/>
      <c r="G186" s="68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68"/>
      <c r="G187" s="68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68"/>
      <c r="G188" s="68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68"/>
      <c r="G189" s="68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68"/>
      <c r="G190" s="68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68"/>
      <c r="G191" s="68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68"/>
      <c r="G192" s="68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68"/>
      <c r="G193" s="68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68"/>
      <c r="G194" s="68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68"/>
      <c r="G195" s="68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68"/>
      <c r="G196" s="68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68"/>
      <c r="G197" s="68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68"/>
      <c r="G198" s="68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68"/>
      <c r="G199" s="68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68"/>
      <c r="G200" s="68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68"/>
      <c r="G201" s="68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68"/>
      <c r="G202" s="68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68"/>
      <c r="G203" s="68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68"/>
      <c r="G204" s="68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68"/>
      <c r="G205" s="68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68"/>
      <c r="G206" s="68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68"/>
      <c r="G207" s="68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68"/>
      <c r="G208" s="68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68"/>
      <c r="G209" s="68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68"/>
      <c r="G210" s="68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68"/>
      <c r="G211" s="68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68"/>
      <c r="G212" s="68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6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6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6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6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6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6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6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6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6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6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6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6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6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6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6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6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6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6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6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6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6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6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6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6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6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6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6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6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6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6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6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6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6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6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6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6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6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6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6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6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6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6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6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6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6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6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6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6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6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6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6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6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6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6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6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6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6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6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6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6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6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6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6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6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6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6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6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6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6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6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6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6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6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6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6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6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6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6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6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6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6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6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6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6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6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6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6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6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6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6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6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6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6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6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6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6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6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6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6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6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6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6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6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6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6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6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6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6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6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6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6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6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6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6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6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6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6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6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6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6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6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6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6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6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6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6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6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6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6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6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6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6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6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6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6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6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6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6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6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6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6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6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6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6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6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6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6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6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6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6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6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6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6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6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6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6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6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6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6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6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6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6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6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6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6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6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6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6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6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6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6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6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6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6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6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6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6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6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6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6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6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6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6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6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6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6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6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6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6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6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6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6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6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6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6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6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6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6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6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6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6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6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6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6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6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6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6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6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6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6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6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6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6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6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6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6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6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6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6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6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6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6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6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6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6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6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6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6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6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6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6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6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6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6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6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6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6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6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6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6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6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6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6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6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6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6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6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6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6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6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6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6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6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6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6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6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6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6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6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6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6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6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6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6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6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6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6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6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6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6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6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6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6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6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6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6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6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6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6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6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6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6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6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6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6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6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6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6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6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6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6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6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6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6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6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6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6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6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6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6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6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6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6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6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6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6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6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6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6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6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6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6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6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6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6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6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6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6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6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6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6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6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6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6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6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6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6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6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6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6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6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6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6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6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6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6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6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6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6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6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6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6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6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6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6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6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6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6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6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6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6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6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6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6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6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6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6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6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6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6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6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6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6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6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6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6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6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6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6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6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6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6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6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6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6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6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6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6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6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6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6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6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6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6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6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6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6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6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6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6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6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6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6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6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6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6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6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6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6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6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6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6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6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6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6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6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6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6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6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6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6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6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6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6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6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6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6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6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6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6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6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6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6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6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6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6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6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6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6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6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6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6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6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6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6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6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6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6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6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6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6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6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6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6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6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6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6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6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6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6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6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6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6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6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6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6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6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6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6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6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6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6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6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6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6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6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6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6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6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6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6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6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6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6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6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6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6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6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6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6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6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6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6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6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6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6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6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6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6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6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6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6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6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6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6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6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6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6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6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6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6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6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6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6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6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6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6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6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6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6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6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6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6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6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6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6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6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6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6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6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6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6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6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6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6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6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6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6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6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6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6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6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6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6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6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6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6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6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6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6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6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6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6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6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6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6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6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6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6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6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6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6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6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6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6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6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6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6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6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6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6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6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6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6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6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6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6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6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6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6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6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6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6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6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6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6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6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6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6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6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6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6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6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6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6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6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6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6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6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6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6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6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6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6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6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6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6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6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6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6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6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6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6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6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6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6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6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6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6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6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6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6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6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6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6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6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6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6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6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6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6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6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6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6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6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6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6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6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6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6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6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6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6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6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6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6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6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6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6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6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6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6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6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6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6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6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6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6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6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6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6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6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6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6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6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6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6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6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6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6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6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6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6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6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6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6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6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6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6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6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6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6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6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6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6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6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6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6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6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6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6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6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6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6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6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6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6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6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6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6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6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6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6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6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6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6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6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6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6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6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6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6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6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6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6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6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6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6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6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6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6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6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6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6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6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6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6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6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6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6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6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6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6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6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6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6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6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6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6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6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6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6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6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6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6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6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6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6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6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6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6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6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6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6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6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6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6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6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6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6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6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6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6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6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6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6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6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6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6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86"/>
      <c r="V971" s="86"/>
      <c r="W971" s="86"/>
      <c r="X971" s="86"/>
      <c r="Y971" s="86"/>
      <c r="Z971" s="86"/>
    </row>
    <row r="972">
      <c r="A972" s="4"/>
      <c r="B972" s="4"/>
      <c r="C972" s="4"/>
      <c r="D972" s="4"/>
      <c r="E972" s="4"/>
      <c r="F972" s="4"/>
      <c r="G972" s="4"/>
      <c r="H972" s="6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86"/>
      <c r="V972" s="86"/>
      <c r="W972" s="86"/>
      <c r="X972" s="86"/>
      <c r="Y972" s="86"/>
      <c r="Z972" s="86"/>
    </row>
    <row r="973">
      <c r="A973" s="4"/>
      <c r="B973" s="4"/>
      <c r="C973" s="4"/>
      <c r="D973" s="4"/>
      <c r="E973" s="4"/>
      <c r="F973" s="4"/>
      <c r="G973" s="4"/>
      <c r="H973" s="6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86"/>
      <c r="V973" s="86"/>
      <c r="W973" s="86"/>
      <c r="X973" s="86"/>
      <c r="Y973" s="86"/>
      <c r="Z973" s="86"/>
    </row>
    <row r="974">
      <c r="A974" s="4"/>
      <c r="B974" s="4"/>
      <c r="C974" s="4"/>
      <c r="D974" s="4"/>
      <c r="E974" s="4"/>
      <c r="F974" s="4"/>
      <c r="G974" s="4"/>
      <c r="H974" s="6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86"/>
      <c r="V974" s="86"/>
      <c r="W974" s="86"/>
      <c r="X974" s="86"/>
      <c r="Y974" s="86"/>
      <c r="Z974" s="86"/>
    </row>
    <row r="975">
      <c r="A975" s="4"/>
      <c r="B975" s="4"/>
      <c r="C975" s="4"/>
      <c r="D975" s="4"/>
      <c r="E975" s="4"/>
      <c r="F975" s="4"/>
      <c r="G975" s="4"/>
      <c r="H975" s="6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86"/>
      <c r="V975" s="86"/>
      <c r="W975" s="86"/>
      <c r="X975" s="86"/>
      <c r="Y975" s="86"/>
      <c r="Z975" s="86"/>
    </row>
    <row r="976">
      <c r="A976" s="4"/>
      <c r="B976" s="4"/>
      <c r="C976" s="4"/>
      <c r="D976" s="4"/>
      <c r="E976" s="4"/>
      <c r="F976" s="4"/>
      <c r="G976" s="4"/>
      <c r="H976" s="6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86"/>
      <c r="V976" s="86"/>
      <c r="W976" s="86"/>
      <c r="X976" s="86"/>
      <c r="Y976" s="86"/>
      <c r="Z976" s="86"/>
    </row>
    <row r="977">
      <c r="A977" s="4"/>
      <c r="B977" s="4"/>
      <c r="C977" s="4"/>
      <c r="D977" s="4"/>
      <c r="E977" s="4"/>
      <c r="F977" s="4"/>
      <c r="G977" s="4"/>
      <c r="H977" s="6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86"/>
      <c r="V977" s="86"/>
      <c r="W977" s="86"/>
      <c r="X977" s="86"/>
      <c r="Y977" s="86"/>
      <c r="Z977" s="86"/>
    </row>
    <row r="978">
      <c r="A978" s="4"/>
      <c r="B978" s="4"/>
      <c r="C978" s="4"/>
      <c r="D978" s="4"/>
      <c r="E978" s="4"/>
      <c r="F978" s="4"/>
      <c r="G978" s="4"/>
      <c r="H978" s="6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86"/>
      <c r="V978" s="86"/>
      <c r="W978" s="86"/>
      <c r="X978" s="86"/>
      <c r="Y978" s="86"/>
      <c r="Z978" s="86"/>
    </row>
    <row r="979">
      <c r="A979" s="4"/>
      <c r="B979" s="4"/>
      <c r="C979" s="4"/>
      <c r="D979" s="4"/>
      <c r="E979" s="4"/>
      <c r="F979" s="4"/>
      <c r="G979" s="4"/>
      <c r="H979" s="6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86"/>
      <c r="V979" s="86"/>
      <c r="W979" s="86"/>
      <c r="X979" s="86"/>
      <c r="Y979" s="86"/>
      <c r="Z979" s="86"/>
    </row>
    <row r="980">
      <c r="A980" s="4"/>
      <c r="B980" s="4"/>
      <c r="C980" s="4"/>
      <c r="D980" s="4"/>
      <c r="E980" s="4"/>
      <c r="F980" s="4"/>
      <c r="G980" s="4"/>
      <c r="H980" s="6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86"/>
      <c r="V980" s="86"/>
      <c r="W980" s="86"/>
      <c r="X980" s="86"/>
      <c r="Y980" s="86"/>
      <c r="Z980" s="86"/>
    </row>
    <row r="981">
      <c r="A981" s="4"/>
      <c r="B981" s="4"/>
      <c r="C981" s="4"/>
      <c r="D981" s="4"/>
      <c r="E981" s="4"/>
      <c r="F981" s="4"/>
      <c r="G981" s="4"/>
      <c r="H981" s="6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86"/>
      <c r="V981" s="86"/>
      <c r="W981" s="86"/>
      <c r="X981" s="86"/>
      <c r="Y981" s="86"/>
      <c r="Z981" s="86"/>
    </row>
    <row r="982">
      <c r="A982" s="4"/>
      <c r="B982" s="4"/>
      <c r="C982" s="4"/>
      <c r="D982" s="4"/>
      <c r="E982" s="4"/>
      <c r="F982" s="4"/>
      <c r="G982" s="4"/>
      <c r="H982" s="6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86"/>
      <c r="V982" s="86"/>
      <c r="W982" s="86"/>
      <c r="X982" s="86"/>
      <c r="Y982" s="86"/>
      <c r="Z982" s="86"/>
    </row>
    <row r="983">
      <c r="A983" s="4"/>
      <c r="B983" s="4"/>
      <c r="C983" s="4"/>
      <c r="D983" s="4"/>
      <c r="E983" s="4"/>
      <c r="F983" s="4"/>
      <c r="G983" s="4"/>
      <c r="H983" s="6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86"/>
      <c r="V983" s="86"/>
      <c r="W983" s="86"/>
      <c r="X983" s="86"/>
      <c r="Y983" s="86"/>
      <c r="Z983" s="86"/>
    </row>
    <row r="984">
      <c r="A984" s="4"/>
      <c r="B984" s="4"/>
      <c r="C984" s="4"/>
      <c r="D984" s="4"/>
      <c r="E984" s="4"/>
      <c r="F984" s="4"/>
      <c r="G984" s="4"/>
      <c r="H984" s="6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86"/>
      <c r="V984" s="86"/>
      <c r="W984" s="86"/>
      <c r="X984" s="86"/>
      <c r="Y984" s="86"/>
      <c r="Z984" s="86"/>
    </row>
    <row r="985">
      <c r="A985" s="4"/>
      <c r="B985" s="4"/>
      <c r="C985" s="4"/>
      <c r="D985" s="4"/>
      <c r="E985" s="4"/>
      <c r="F985" s="4"/>
      <c r="G985" s="4"/>
      <c r="H985" s="6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86"/>
      <c r="V985" s="86"/>
      <c r="W985" s="86"/>
      <c r="X985" s="86"/>
      <c r="Y985" s="86"/>
      <c r="Z985" s="86"/>
    </row>
    <row r="986">
      <c r="A986" s="4"/>
      <c r="B986" s="4"/>
      <c r="C986" s="4"/>
      <c r="D986" s="4"/>
      <c r="E986" s="4"/>
      <c r="F986" s="4"/>
      <c r="G986" s="4"/>
      <c r="H986" s="6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86"/>
      <c r="V986" s="86"/>
      <c r="W986" s="86"/>
      <c r="X986" s="86"/>
      <c r="Y986" s="86"/>
      <c r="Z986" s="86"/>
    </row>
    <row r="987">
      <c r="A987" s="4"/>
      <c r="B987" s="4"/>
      <c r="C987" s="4"/>
      <c r="D987" s="4"/>
      <c r="E987" s="4"/>
      <c r="F987" s="4"/>
      <c r="G987" s="4"/>
      <c r="H987" s="6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86"/>
      <c r="V987" s="86"/>
      <c r="W987" s="86"/>
      <c r="X987" s="86"/>
      <c r="Y987" s="86"/>
      <c r="Z987" s="86"/>
    </row>
    <row r="988">
      <c r="A988" s="4"/>
      <c r="B988" s="4"/>
      <c r="C988" s="4"/>
      <c r="D988" s="4"/>
      <c r="E988" s="4"/>
      <c r="F988" s="4"/>
      <c r="G988" s="4"/>
      <c r="H988" s="6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86"/>
      <c r="V988" s="86"/>
      <c r="W988" s="86"/>
      <c r="X988" s="86"/>
      <c r="Y988" s="86"/>
      <c r="Z988" s="86"/>
    </row>
    <row r="989">
      <c r="A989" s="4"/>
      <c r="B989" s="4"/>
      <c r="C989" s="4"/>
      <c r="D989" s="4"/>
      <c r="E989" s="4"/>
      <c r="F989" s="4"/>
      <c r="G989" s="4"/>
      <c r="H989" s="6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86"/>
      <c r="V989" s="86"/>
      <c r="W989" s="86"/>
      <c r="X989" s="86"/>
      <c r="Y989" s="86"/>
      <c r="Z989" s="86"/>
    </row>
    <row r="990">
      <c r="A990" s="4"/>
      <c r="B990" s="4"/>
      <c r="C990" s="4"/>
      <c r="D990" s="4"/>
      <c r="E990" s="4"/>
      <c r="F990" s="4"/>
      <c r="G990" s="4"/>
      <c r="H990" s="6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86"/>
      <c r="V990" s="86"/>
      <c r="W990" s="86"/>
      <c r="X990" s="86"/>
      <c r="Y990" s="86"/>
      <c r="Z990" s="86"/>
    </row>
    <row r="991">
      <c r="A991" s="4"/>
      <c r="B991" s="4"/>
      <c r="C991" s="4"/>
      <c r="D991" s="4"/>
      <c r="E991" s="4"/>
      <c r="F991" s="4"/>
      <c r="G991" s="4"/>
      <c r="H991" s="6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86"/>
      <c r="V991" s="86"/>
      <c r="W991" s="86"/>
      <c r="X991" s="86"/>
      <c r="Y991" s="86"/>
      <c r="Z991" s="86"/>
    </row>
    <row r="992">
      <c r="A992" s="4"/>
      <c r="B992" s="4"/>
      <c r="C992" s="4"/>
      <c r="D992" s="4"/>
      <c r="E992" s="4"/>
      <c r="F992" s="4"/>
      <c r="G992" s="4"/>
      <c r="H992" s="6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86"/>
      <c r="V992" s="86"/>
      <c r="W992" s="86"/>
      <c r="X992" s="86"/>
      <c r="Y992" s="86"/>
      <c r="Z992" s="86"/>
    </row>
    <row r="993">
      <c r="A993" s="4"/>
      <c r="B993" s="4"/>
      <c r="C993" s="4"/>
      <c r="D993" s="4"/>
      <c r="E993" s="4"/>
      <c r="F993" s="4"/>
      <c r="G993" s="4"/>
      <c r="H993" s="68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86"/>
      <c r="V993" s="86"/>
      <c r="W993" s="86"/>
      <c r="X993" s="86"/>
      <c r="Y993" s="86"/>
      <c r="Z993" s="86"/>
    </row>
    <row r="994">
      <c r="A994" s="4"/>
      <c r="B994" s="4"/>
      <c r="C994" s="4"/>
      <c r="D994" s="4"/>
      <c r="E994" s="4"/>
      <c r="F994" s="4"/>
      <c r="G994" s="4"/>
      <c r="H994" s="68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86"/>
      <c r="V994" s="86"/>
      <c r="W994" s="86"/>
      <c r="X994" s="86"/>
      <c r="Y994" s="86"/>
      <c r="Z994" s="86"/>
    </row>
    <row r="995">
      <c r="A995" s="4"/>
      <c r="B995" s="4"/>
      <c r="C995" s="4"/>
      <c r="D995" s="4"/>
      <c r="E995" s="4"/>
      <c r="F995" s="4"/>
      <c r="G995" s="4"/>
      <c r="H995" s="87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86"/>
      <c r="V995" s="86"/>
      <c r="W995" s="86"/>
      <c r="X995" s="86"/>
      <c r="Y995" s="86"/>
      <c r="Z995" s="86"/>
    </row>
    <row r="996">
      <c r="A996" s="4"/>
      <c r="B996" s="4"/>
      <c r="C996" s="4"/>
      <c r="D996" s="4"/>
      <c r="E996" s="4"/>
      <c r="F996" s="4"/>
      <c r="G996" s="4"/>
      <c r="H996" s="87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86"/>
      <c r="V996" s="86"/>
      <c r="W996" s="86"/>
      <c r="X996" s="86"/>
      <c r="Y996" s="86"/>
      <c r="Z996" s="86"/>
    </row>
    <row r="997">
      <c r="A997" s="4"/>
      <c r="B997" s="4"/>
      <c r="C997" s="4"/>
      <c r="D997" s="4"/>
      <c r="E997" s="4"/>
      <c r="F997" s="4"/>
      <c r="G997" s="4"/>
      <c r="H997" s="87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86"/>
      <c r="V997" s="86"/>
      <c r="W997" s="86"/>
      <c r="X997" s="86"/>
      <c r="Y997" s="86"/>
      <c r="Z997" s="86"/>
    </row>
    <row r="998">
      <c r="A998" s="4"/>
      <c r="B998" s="4"/>
      <c r="C998" s="4"/>
      <c r="D998" s="4"/>
      <c r="E998" s="4"/>
      <c r="F998" s="4"/>
      <c r="G998" s="4"/>
      <c r="H998" s="87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86"/>
      <c r="V998" s="86"/>
      <c r="W998" s="86"/>
      <c r="X998" s="86"/>
      <c r="Y998" s="86"/>
      <c r="Z998" s="86"/>
    </row>
    <row r="999">
      <c r="A999" s="4"/>
      <c r="B999" s="4"/>
      <c r="C999" s="4"/>
      <c r="D999" s="4"/>
      <c r="E999" s="4"/>
      <c r="F999" s="4"/>
      <c r="G999" s="4"/>
      <c r="H999" s="87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86"/>
      <c r="V999" s="86"/>
      <c r="W999" s="86"/>
      <c r="X999" s="86"/>
      <c r="Y999" s="86"/>
      <c r="Z999" s="86"/>
    </row>
    <row r="1000">
      <c r="A1000" s="4"/>
      <c r="B1000" s="4"/>
      <c r="C1000" s="4"/>
      <c r="D1000" s="4"/>
      <c r="E1000" s="4"/>
      <c r="F1000" s="4"/>
      <c r="G1000" s="4"/>
      <c r="H1000" s="87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86"/>
      <c r="V1000" s="86"/>
      <c r="W1000" s="86"/>
      <c r="X1000" s="86"/>
      <c r="Y1000" s="86"/>
      <c r="Z1000" s="86"/>
    </row>
    <row r="1001">
      <c r="A1001" s="4"/>
      <c r="B1001" s="4"/>
      <c r="C1001" s="4"/>
      <c r="D1001" s="4"/>
      <c r="E1001" s="4"/>
      <c r="F1001" s="4"/>
      <c r="G1001" s="4"/>
      <c r="H1001" s="87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86"/>
      <c r="V1001" s="86"/>
      <c r="W1001" s="86"/>
      <c r="X1001" s="86"/>
      <c r="Y1001" s="86"/>
      <c r="Z1001" s="86"/>
    </row>
    <row r="1002">
      <c r="A1002" s="4"/>
      <c r="B1002" s="4"/>
      <c r="C1002" s="4"/>
      <c r="D1002" s="4"/>
      <c r="E1002" s="4"/>
      <c r="F1002" s="4"/>
      <c r="G1002" s="4"/>
      <c r="H1002" s="87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86"/>
      <c r="V1002" s="86"/>
      <c r="W1002" s="86"/>
      <c r="X1002" s="86"/>
      <c r="Y1002" s="86"/>
      <c r="Z1002" s="86"/>
    </row>
    <row r="1003">
      <c r="A1003" s="4"/>
      <c r="B1003" s="4"/>
      <c r="C1003" s="4"/>
      <c r="D1003" s="4"/>
      <c r="E1003" s="4"/>
      <c r="F1003" s="4"/>
      <c r="G1003" s="4"/>
      <c r="H1003" s="87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86"/>
      <c r="V1003" s="86"/>
      <c r="W1003" s="86"/>
      <c r="X1003" s="86"/>
      <c r="Y1003" s="86"/>
      <c r="Z1003" s="86"/>
    </row>
    <row r="1004">
      <c r="A1004" s="4"/>
      <c r="B1004" s="4"/>
      <c r="C1004" s="4"/>
      <c r="D1004" s="4"/>
      <c r="E1004" s="4"/>
      <c r="F1004" s="4"/>
      <c r="G1004" s="4"/>
      <c r="H1004" s="87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86"/>
      <c r="V1004" s="86"/>
      <c r="W1004" s="86"/>
      <c r="X1004" s="86"/>
      <c r="Y1004" s="86"/>
      <c r="Z1004" s="86"/>
    </row>
    <row r="1005">
      <c r="A1005" s="4"/>
      <c r="B1005" s="4"/>
      <c r="C1005" s="4"/>
      <c r="D1005" s="4"/>
      <c r="E1005" s="4"/>
      <c r="F1005" s="4"/>
      <c r="G1005" s="4"/>
      <c r="H1005" s="87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86"/>
      <c r="V1005" s="86"/>
      <c r="W1005" s="86"/>
      <c r="X1005" s="86"/>
      <c r="Y1005" s="86"/>
      <c r="Z1005" s="86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61" t="s">
        <v>25</v>
      </c>
      <c r="C1" s="62" t="s">
        <v>26</v>
      </c>
      <c r="D1" s="63" t="s">
        <v>20</v>
      </c>
      <c r="E1" s="64" t="s">
        <v>21</v>
      </c>
      <c r="F1" s="65" t="s">
        <v>22</v>
      </c>
      <c r="G1" s="66" t="s">
        <v>23</v>
      </c>
      <c r="H1" s="67" t="s">
        <v>24</v>
      </c>
      <c r="I1" s="6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1" t="s">
        <v>27</v>
      </c>
      <c r="B2" s="69">
        <f>SUM(G7:G962)</f>
        <v>0</v>
      </c>
      <c r="C2" s="70">
        <f>SUMIF(F8:F960,"MÉDIA MULTI-ANNONCEURS",G8:G960)</f>
        <v>0</v>
      </c>
      <c r="D2" s="71">
        <f>SUMIF(F8:F960,"PROMOTIONNEL",G8:G960)</f>
        <v>0</v>
      </c>
      <c r="E2" s="72">
        <f>SUMIF(F8:F960,"DIST. PUBLICITAIRE SOLO",G8:G960)</f>
        <v>0</v>
      </c>
      <c r="F2" s="73">
        <f>SUMIF(F8:F960,"AGENCE PUB",G8:G960)</f>
        <v>0</v>
      </c>
      <c r="G2" s="74">
        <f>SUMIF(F8:F960,"AGENCE WEB",G8:G960)</f>
        <v>0</v>
      </c>
      <c r="H2" s="75">
        <f>SUMIF(F8:F960,"SERVICES IA",G8:G960)</f>
        <v>0</v>
      </c>
      <c r="I2" s="6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6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1" t="s">
        <v>28</v>
      </c>
      <c r="B4" s="69">
        <f>SUM(B8:B962)</f>
        <v>0</v>
      </c>
      <c r="C4" s="70">
        <f>SUMIF(F8:F960,"MÉDIA MULTI-ANNONCEURS",B8:B960)</f>
        <v>0</v>
      </c>
      <c r="D4" s="71">
        <f>SUMIF(F8:F960,"PROMOTIONNEL",B8:B960)</f>
        <v>0</v>
      </c>
      <c r="E4" s="72">
        <f>SUMIF(F8:F960,"DIST. PUBLICITAIRE SOLO",B8:B960)</f>
        <v>0</v>
      </c>
      <c r="F4" s="73">
        <f>SUMIF(F8:F960,"AGENCE PUB",B8:B960)</f>
        <v>0</v>
      </c>
      <c r="G4" s="74">
        <f>SUMIF(F8:F960,"AGENCE WEB",B8:B960)</f>
        <v>0</v>
      </c>
      <c r="H4" s="75">
        <f>SUMIF(F8:F960,"SERVICES IA",B8:B960)</f>
        <v>0</v>
      </c>
      <c r="I4" s="6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6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68"/>
      <c r="C6" s="68"/>
      <c r="D6" s="68"/>
      <c r="E6" s="68"/>
      <c r="F6" s="68"/>
      <c r="G6" s="68"/>
      <c r="H6" s="4"/>
      <c r="I6" s="6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1" t="s">
        <v>29</v>
      </c>
      <c r="B7" s="76" t="s">
        <v>30</v>
      </c>
      <c r="C7" s="77" t="s">
        <v>31</v>
      </c>
      <c r="D7" s="77" t="s">
        <v>32</v>
      </c>
      <c r="E7" s="76" t="s">
        <v>33</v>
      </c>
      <c r="F7" s="78" t="s">
        <v>34</v>
      </c>
      <c r="G7" s="78" t="s">
        <v>35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9"/>
      <c r="B8" s="80"/>
      <c r="C8" s="81"/>
      <c r="D8" s="82"/>
      <c r="E8" s="83"/>
      <c r="F8" s="79"/>
      <c r="G8" s="68">
        <f t="shared" ref="G8:G166" si="1">B8*0.1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79"/>
      <c r="B9" s="80"/>
      <c r="C9" s="79"/>
      <c r="D9" s="89"/>
      <c r="E9" s="83"/>
      <c r="F9" s="83"/>
      <c r="G9" s="68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79"/>
      <c r="B10" s="80"/>
      <c r="C10" s="79"/>
      <c r="D10" s="89"/>
      <c r="E10" s="83"/>
      <c r="F10" s="79"/>
      <c r="G10" s="68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79"/>
      <c r="B11" s="80"/>
      <c r="C11" s="79"/>
      <c r="D11" s="89"/>
      <c r="E11" s="83"/>
      <c r="F11" s="79"/>
      <c r="G11" s="68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79"/>
      <c r="B12" s="80"/>
      <c r="C12" s="79"/>
      <c r="D12" s="89"/>
      <c r="E12" s="83"/>
      <c r="F12" s="79"/>
      <c r="G12" s="68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79"/>
      <c r="B13" s="80"/>
      <c r="C13" s="79"/>
      <c r="D13" s="89"/>
      <c r="E13" s="83"/>
      <c r="F13" s="79"/>
      <c r="G13" s="68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79"/>
      <c r="B14" s="80"/>
      <c r="C14" s="79"/>
      <c r="D14" s="89"/>
      <c r="E14" s="83"/>
      <c r="F14" s="79"/>
      <c r="G14" s="68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79"/>
      <c r="B15" s="80"/>
      <c r="C15" s="79"/>
      <c r="D15" s="89"/>
      <c r="E15" s="83"/>
      <c r="F15" s="79"/>
      <c r="G15" s="68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90"/>
      <c r="B16" s="80"/>
      <c r="C16" s="91"/>
      <c r="D16" s="92"/>
      <c r="E16" s="93"/>
      <c r="F16" s="11"/>
      <c r="G16" s="68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90"/>
      <c r="B17" s="80"/>
      <c r="C17" s="91"/>
      <c r="D17" s="92"/>
      <c r="E17" s="93"/>
      <c r="F17" s="11"/>
      <c r="G17" s="68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90"/>
      <c r="B18" s="80"/>
      <c r="C18" s="91"/>
      <c r="D18" s="92"/>
      <c r="E18" s="93"/>
      <c r="F18" s="11"/>
      <c r="G18" s="68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94"/>
      <c r="B19" s="95"/>
      <c r="C19" s="96"/>
      <c r="D19" s="97"/>
      <c r="E19" s="85"/>
      <c r="F19" s="4"/>
      <c r="G19" s="68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98"/>
      <c r="B20" s="95"/>
      <c r="C20" s="96"/>
      <c r="D20" s="97"/>
      <c r="E20" s="85"/>
      <c r="F20" s="4"/>
      <c r="G20" s="68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98"/>
      <c r="B21" s="95"/>
      <c r="C21" s="96"/>
      <c r="D21" s="97"/>
      <c r="E21" s="85"/>
      <c r="F21" s="4"/>
      <c r="G21" s="68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94"/>
      <c r="B22" s="95"/>
      <c r="C22" s="96"/>
      <c r="D22" s="97"/>
      <c r="E22" s="85"/>
      <c r="F22" s="4"/>
      <c r="G22" s="68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98"/>
      <c r="B23" s="95"/>
      <c r="C23" s="25"/>
      <c r="D23" s="84"/>
      <c r="E23" s="85"/>
      <c r="F23" s="4"/>
      <c r="G23" s="68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98"/>
      <c r="B24" s="95"/>
      <c r="C24" s="25"/>
      <c r="D24" s="84"/>
      <c r="E24" s="85"/>
      <c r="F24" s="4"/>
      <c r="G24" s="68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98"/>
      <c r="B25" s="95"/>
      <c r="C25" s="25"/>
      <c r="D25" s="84"/>
      <c r="E25" s="85"/>
      <c r="F25" s="4"/>
      <c r="G25" s="68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98"/>
      <c r="B26" s="25"/>
      <c r="C26" s="25"/>
      <c r="D26" s="84"/>
      <c r="E26" s="85"/>
      <c r="F26" s="4"/>
      <c r="G26" s="68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98"/>
      <c r="B27" s="25"/>
      <c r="C27" s="25"/>
      <c r="D27" s="84"/>
      <c r="E27" s="85"/>
      <c r="F27" s="4"/>
      <c r="G27" s="68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98"/>
      <c r="B28" s="25"/>
      <c r="C28" s="25"/>
      <c r="D28" s="84"/>
      <c r="E28" s="85"/>
      <c r="F28" s="4"/>
      <c r="G28" s="68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84"/>
      <c r="B29" s="25"/>
      <c r="C29" s="25"/>
      <c r="D29" s="25"/>
      <c r="E29" s="85"/>
      <c r="F29" s="4"/>
      <c r="G29" s="68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84"/>
      <c r="B30" s="25"/>
      <c r="C30" s="25"/>
      <c r="D30" s="25"/>
      <c r="E30" s="85"/>
      <c r="F30" s="4"/>
      <c r="G30" s="68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84"/>
      <c r="B31" s="25"/>
      <c r="C31" s="25"/>
      <c r="D31" s="25"/>
      <c r="E31" s="85"/>
      <c r="F31" s="4"/>
      <c r="G31" s="68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84"/>
      <c r="B32" s="25"/>
      <c r="C32" s="25"/>
      <c r="D32" s="25"/>
      <c r="E32" s="85"/>
      <c r="F32" s="4"/>
      <c r="G32" s="68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84"/>
      <c r="B33" s="25"/>
      <c r="C33" s="25"/>
      <c r="D33" s="25"/>
      <c r="E33" s="85"/>
      <c r="F33" s="4"/>
      <c r="G33" s="68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84"/>
      <c r="B34" s="25"/>
      <c r="C34" s="25"/>
      <c r="D34" s="25"/>
      <c r="E34" s="85"/>
      <c r="F34" s="4"/>
      <c r="G34" s="68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84"/>
      <c r="B35" s="25"/>
      <c r="C35" s="25"/>
      <c r="D35" s="25"/>
      <c r="E35" s="85"/>
      <c r="F35" s="4"/>
      <c r="G35" s="68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84"/>
      <c r="B36" s="25"/>
      <c r="C36" s="25"/>
      <c r="D36" s="25"/>
      <c r="E36" s="85"/>
      <c r="F36" s="4"/>
      <c r="G36" s="68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84"/>
      <c r="B37" s="25"/>
      <c r="C37" s="25"/>
      <c r="D37" s="25"/>
      <c r="E37" s="85"/>
      <c r="F37" s="4"/>
      <c r="G37" s="68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85"/>
      <c r="F38" s="4"/>
      <c r="G38" s="68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85"/>
      <c r="F39" s="4"/>
      <c r="G39" s="68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85"/>
      <c r="F40" s="4"/>
      <c r="G40" s="68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85"/>
      <c r="F41" s="4"/>
      <c r="G41" s="68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85"/>
      <c r="F42" s="4"/>
      <c r="G42" s="68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85"/>
      <c r="F43" s="4"/>
      <c r="G43" s="68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85"/>
      <c r="F44" s="4"/>
      <c r="G44" s="68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85"/>
      <c r="F45" s="4"/>
      <c r="G45" s="68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85"/>
      <c r="F46" s="4"/>
      <c r="G46" s="68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85"/>
      <c r="F47" s="4"/>
      <c r="G47" s="68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85"/>
      <c r="F48" s="4"/>
      <c r="G48" s="68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85"/>
      <c r="F49" s="4"/>
      <c r="G49" s="68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85"/>
      <c r="F50" s="4"/>
      <c r="G50" s="68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85"/>
      <c r="F51" s="4"/>
      <c r="G51" s="68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85"/>
      <c r="F52" s="4"/>
      <c r="G52" s="68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85"/>
      <c r="F53" s="4"/>
      <c r="G53" s="68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85"/>
      <c r="F54" s="4"/>
      <c r="G54" s="68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85"/>
      <c r="F55" s="4"/>
      <c r="G55" s="68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85"/>
      <c r="F56" s="4"/>
      <c r="G56" s="68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85"/>
      <c r="F57" s="4"/>
      <c r="G57" s="68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85"/>
      <c r="F58" s="4"/>
      <c r="G58" s="68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85"/>
      <c r="F59" s="4"/>
      <c r="G59" s="68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85"/>
      <c r="F60" s="4"/>
      <c r="G60" s="68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85"/>
      <c r="F61" s="4"/>
      <c r="G61" s="68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85"/>
      <c r="F62" s="4"/>
      <c r="G62" s="68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85"/>
      <c r="F63" s="4"/>
      <c r="G63" s="68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85"/>
      <c r="F64" s="4"/>
      <c r="G64" s="68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85"/>
      <c r="F65" s="4"/>
      <c r="G65" s="68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85"/>
      <c r="F66" s="4"/>
      <c r="G66" s="68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85"/>
      <c r="F67" s="4"/>
      <c r="G67" s="68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85"/>
      <c r="F68" s="4"/>
      <c r="G68" s="68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85"/>
      <c r="F69" s="4"/>
      <c r="G69" s="68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85"/>
      <c r="F70" s="4"/>
      <c r="G70" s="68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85"/>
      <c r="F71" s="4"/>
      <c r="G71" s="68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85"/>
      <c r="F72" s="4"/>
      <c r="G72" s="68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85"/>
      <c r="F73" s="4"/>
      <c r="G73" s="68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85"/>
      <c r="F74" s="4"/>
      <c r="G74" s="68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85"/>
      <c r="F75" s="4"/>
      <c r="G75" s="68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85"/>
      <c r="F76" s="4"/>
      <c r="G76" s="68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85"/>
      <c r="F77" s="4"/>
      <c r="G77" s="68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85"/>
      <c r="F78" s="4"/>
      <c r="G78" s="68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85"/>
      <c r="F79" s="4"/>
      <c r="G79" s="68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85"/>
      <c r="F80" s="4"/>
      <c r="G80" s="68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85"/>
      <c r="F81" s="4"/>
      <c r="G81" s="68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85"/>
      <c r="F82" s="4"/>
      <c r="G82" s="68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85"/>
      <c r="F83" s="4"/>
      <c r="G83" s="68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85"/>
      <c r="F84" s="4"/>
      <c r="G84" s="68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85"/>
      <c r="F85" s="4"/>
      <c r="G85" s="68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85"/>
      <c r="F86" s="4"/>
      <c r="G86" s="68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85"/>
      <c r="F87" s="4"/>
      <c r="G87" s="68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85"/>
      <c r="F88" s="4"/>
      <c r="G88" s="68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85"/>
      <c r="F89" s="4"/>
      <c r="G89" s="68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85"/>
      <c r="F90" s="4"/>
      <c r="G90" s="68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85"/>
      <c r="F91" s="4"/>
      <c r="G91" s="68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85"/>
      <c r="F92" s="4"/>
      <c r="G92" s="68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85"/>
      <c r="F93" s="4"/>
      <c r="G93" s="68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85"/>
      <c r="F94" s="4"/>
      <c r="G94" s="68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85"/>
      <c r="F95" s="4"/>
      <c r="G95" s="68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85"/>
      <c r="F96" s="4"/>
      <c r="G96" s="68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85"/>
      <c r="F97" s="4"/>
      <c r="G97" s="68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85"/>
      <c r="F98" s="4"/>
      <c r="G98" s="68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85"/>
      <c r="F99" s="4"/>
      <c r="G99" s="68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85"/>
      <c r="F100" s="4"/>
      <c r="G100" s="68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85"/>
      <c r="F101" s="4"/>
      <c r="G101" s="68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85"/>
      <c r="F102" s="4"/>
      <c r="G102" s="68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85"/>
      <c r="F103" s="4"/>
      <c r="G103" s="68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85"/>
      <c r="F104" s="4"/>
      <c r="G104" s="68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85"/>
      <c r="F105" s="4"/>
      <c r="G105" s="68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85"/>
      <c r="F106" s="4"/>
      <c r="G106" s="68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85"/>
      <c r="F107" s="4"/>
      <c r="G107" s="68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85"/>
      <c r="F108" s="4"/>
      <c r="G108" s="68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85"/>
      <c r="F109" s="4"/>
      <c r="G109" s="68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85"/>
      <c r="F110" s="4"/>
      <c r="G110" s="68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85"/>
      <c r="F111" s="4"/>
      <c r="G111" s="68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85"/>
      <c r="F112" s="4"/>
      <c r="G112" s="68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85"/>
      <c r="F113" s="4"/>
      <c r="G113" s="68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85"/>
      <c r="F114" s="4"/>
      <c r="G114" s="68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85"/>
      <c r="F115" s="4"/>
      <c r="G115" s="68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85"/>
      <c r="F116" s="4"/>
      <c r="G116" s="68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85"/>
      <c r="F117" s="4"/>
      <c r="G117" s="68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85"/>
      <c r="F118" s="4"/>
      <c r="G118" s="68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85"/>
      <c r="F119" s="4"/>
      <c r="G119" s="68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85"/>
      <c r="F120" s="4"/>
      <c r="G120" s="68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85"/>
      <c r="F121" s="4"/>
      <c r="G121" s="68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85"/>
      <c r="F122" s="4"/>
      <c r="G122" s="68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85"/>
      <c r="F123" s="4"/>
      <c r="G123" s="68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85"/>
      <c r="F124" s="4"/>
      <c r="G124" s="68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85"/>
      <c r="F125" s="4"/>
      <c r="G125" s="68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85"/>
      <c r="F126" s="4"/>
      <c r="G126" s="68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85"/>
      <c r="F127" s="4"/>
      <c r="G127" s="68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85"/>
      <c r="F128" s="4"/>
      <c r="G128" s="68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85"/>
      <c r="F129" s="4"/>
      <c r="G129" s="68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85"/>
      <c r="F130" s="4"/>
      <c r="G130" s="68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85"/>
      <c r="F131" s="4"/>
      <c r="G131" s="68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85"/>
      <c r="F132" s="4"/>
      <c r="G132" s="68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85"/>
      <c r="F133" s="4"/>
      <c r="G133" s="68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85"/>
      <c r="F134" s="4"/>
      <c r="G134" s="68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85"/>
      <c r="F135" s="4"/>
      <c r="G135" s="68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85"/>
      <c r="F136" s="4"/>
      <c r="G136" s="68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85"/>
      <c r="F137" s="4"/>
      <c r="G137" s="68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85"/>
      <c r="F138" s="4"/>
      <c r="G138" s="68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85"/>
      <c r="F139" s="4"/>
      <c r="G139" s="68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85"/>
      <c r="F140" s="4"/>
      <c r="G140" s="68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85"/>
      <c r="F141" s="4"/>
      <c r="G141" s="68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85"/>
      <c r="F142" s="4"/>
      <c r="G142" s="68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85"/>
      <c r="F143" s="4"/>
      <c r="G143" s="68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85"/>
      <c r="F144" s="4"/>
      <c r="G144" s="68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68"/>
      <c r="G145" s="68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68"/>
      <c r="G146" s="68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68"/>
      <c r="G147" s="68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68"/>
      <c r="G148" s="68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68"/>
      <c r="G149" s="68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68"/>
      <c r="G150" s="68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68"/>
      <c r="G151" s="68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68"/>
      <c r="G152" s="68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68"/>
      <c r="G153" s="68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68"/>
      <c r="G154" s="68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68"/>
      <c r="G155" s="68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68"/>
      <c r="G156" s="68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68"/>
      <c r="G157" s="68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68"/>
      <c r="G158" s="68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68"/>
      <c r="G159" s="68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68"/>
      <c r="G160" s="68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68"/>
      <c r="G161" s="68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68"/>
      <c r="G162" s="68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68"/>
      <c r="G163" s="68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68"/>
      <c r="G164" s="68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68"/>
      <c r="G165" s="68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68"/>
      <c r="G166" s="68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68"/>
      <c r="G167" s="68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68"/>
      <c r="G168" s="68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68"/>
      <c r="G169" s="68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68"/>
      <c r="G170" s="68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68"/>
      <c r="G171" s="68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68"/>
      <c r="G172" s="68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68"/>
      <c r="G173" s="68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68"/>
      <c r="G174" s="68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68"/>
      <c r="G175" s="68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68"/>
      <c r="G176" s="68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68"/>
      <c r="G177" s="68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68"/>
      <c r="G178" s="68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68"/>
      <c r="G179" s="68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68"/>
      <c r="G180" s="68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68"/>
      <c r="G181" s="68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68"/>
      <c r="G182" s="68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68"/>
      <c r="G183" s="68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68"/>
      <c r="G184" s="68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68"/>
      <c r="G185" s="68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68"/>
      <c r="G186" s="68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68"/>
      <c r="G187" s="68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68"/>
      <c r="G188" s="68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68"/>
      <c r="G189" s="68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68"/>
      <c r="G190" s="68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68"/>
      <c r="G191" s="68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68"/>
      <c r="G192" s="68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68"/>
      <c r="G193" s="68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68"/>
      <c r="G194" s="68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68"/>
      <c r="G195" s="68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68"/>
      <c r="G196" s="68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68"/>
      <c r="G197" s="68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68"/>
      <c r="G198" s="68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68"/>
      <c r="G199" s="68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68"/>
      <c r="G200" s="68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68"/>
      <c r="G201" s="68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68"/>
      <c r="G202" s="68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68"/>
      <c r="G203" s="68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68"/>
      <c r="G204" s="68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68"/>
      <c r="G205" s="68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68"/>
      <c r="G206" s="68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68"/>
      <c r="G207" s="68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68"/>
      <c r="G208" s="68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68"/>
      <c r="G209" s="68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68"/>
      <c r="G210" s="68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68"/>
      <c r="G211" s="68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68"/>
      <c r="G212" s="68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6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6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6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6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6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6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6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6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6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6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6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6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6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6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6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6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6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6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6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6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6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6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6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6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6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6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6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6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6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6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6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6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6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6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6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6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6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6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6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6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6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6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6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6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6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6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6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6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6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6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6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6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6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6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6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6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6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6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6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6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6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6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6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6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6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6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6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6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6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6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6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6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6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6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6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6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6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6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6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6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6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6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6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6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6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6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6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6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6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6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6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6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6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6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6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6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6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6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6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6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6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6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6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6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6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6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6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6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6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6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6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6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6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6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6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6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6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6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6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6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6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6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6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6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6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6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6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6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6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6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6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6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6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6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6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6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6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6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6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6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6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6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6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6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6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6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6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6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6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6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6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6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6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6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6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6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6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6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6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6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6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6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6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6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6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6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6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6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6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6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6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6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6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6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6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6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6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6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6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6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6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6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6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6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6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6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6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6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6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6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6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6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6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6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6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6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6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6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6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6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6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6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6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6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6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6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6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6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6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6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6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6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6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6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6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6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6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6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6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6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6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6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6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6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6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6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6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6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6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6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6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6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6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6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6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6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6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6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6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6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6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6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6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6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6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6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6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6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6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6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6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6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6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6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6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6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6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6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6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6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6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6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6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6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6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6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6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6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6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6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6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6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6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6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6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6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6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6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6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6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6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6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6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6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6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6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6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6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6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6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6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6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6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6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6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6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6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6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6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6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6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6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6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6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6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6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6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6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6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6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6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6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6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6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6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6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6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6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6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6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6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6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6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6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6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6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6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6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6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6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6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6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6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6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6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6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6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6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6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6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6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6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6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6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6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6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6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6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6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6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6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6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6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6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6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6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6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6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6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6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6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6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6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6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6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6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6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6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6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6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6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6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6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6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6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6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6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6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6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6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6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6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6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6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6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6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6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6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6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6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6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6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6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6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6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6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6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6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6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6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6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6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6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6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6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6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6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6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6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6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6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6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6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6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6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6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6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6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6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6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6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6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6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6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6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6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6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6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6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6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6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6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6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6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6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6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6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6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6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6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6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6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6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6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6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6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6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6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6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6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6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6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6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6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6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6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6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6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6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6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6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6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6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6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6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6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6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6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6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6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6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6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6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6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6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6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6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6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6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6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6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6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6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6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6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6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6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6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6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6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6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6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6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6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6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6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6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6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6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6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6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6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6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6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6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6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6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6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6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6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6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6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6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6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6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6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6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6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6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6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6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6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6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6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6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6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6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6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6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6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6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6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6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6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6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6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6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6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6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6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6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6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6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6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6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6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6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6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6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6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6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6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6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6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6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6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6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6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6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6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6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6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6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6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6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6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6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6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6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6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6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6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6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6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6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6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6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6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6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6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6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6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6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6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6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6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6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6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6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6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6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6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6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6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6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6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6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6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6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6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6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6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6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6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6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6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6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6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6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6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6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6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6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6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6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6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6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6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6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6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6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6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6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6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6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6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6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6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6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6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6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6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6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6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6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6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6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6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6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6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6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6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6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6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6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6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6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6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6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6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6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6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6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6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6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6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6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6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6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6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6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6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6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6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6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6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6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6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6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6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6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6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6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6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6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6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6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6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6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6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6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6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6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6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6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6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6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6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6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6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6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6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6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6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6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6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6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6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6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6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6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6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6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6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6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6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6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6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6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6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6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6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6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6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6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6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6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6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6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6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6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6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6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6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6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6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6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6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6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6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6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6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6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6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6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6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6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6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6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6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6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6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6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6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6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6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6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6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6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6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6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6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6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6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6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6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6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6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6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86"/>
      <c r="V971" s="86"/>
      <c r="W971" s="86"/>
      <c r="X971" s="86"/>
      <c r="Y971" s="86"/>
      <c r="Z971" s="86"/>
    </row>
    <row r="972">
      <c r="A972" s="4"/>
      <c r="B972" s="4"/>
      <c r="C972" s="4"/>
      <c r="D972" s="4"/>
      <c r="E972" s="4"/>
      <c r="F972" s="4"/>
      <c r="G972" s="4"/>
      <c r="H972" s="6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86"/>
      <c r="V972" s="86"/>
      <c r="W972" s="86"/>
      <c r="X972" s="86"/>
      <c r="Y972" s="86"/>
      <c r="Z972" s="86"/>
    </row>
    <row r="973">
      <c r="A973" s="4"/>
      <c r="B973" s="4"/>
      <c r="C973" s="4"/>
      <c r="D973" s="4"/>
      <c r="E973" s="4"/>
      <c r="F973" s="4"/>
      <c r="G973" s="4"/>
      <c r="H973" s="6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86"/>
      <c r="V973" s="86"/>
      <c r="W973" s="86"/>
      <c r="X973" s="86"/>
      <c r="Y973" s="86"/>
      <c r="Z973" s="86"/>
    </row>
    <row r="974">
      <c r="A974" s="4"/>
      <c r="B974" s="4"/>
      <c r="C974" s="4"/>
      <c r="D974" s="4"/>
      <c r="E974" s="4"/>
      <c r="F974" s="4"/>
      <c r="G974" s="4"/>
      <c r="H974" s="6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86"/>
      <c r="V974" s="86"/>
      <c r="W974" s="86"/>
      <c r="X974" s="86"/>
      <c r="Y974" s="86"/>
      <c r="Z974" s="86"/>
    </row>
    <row r="975">
      <c r="A975" s="4"/>
      <c r="B975" s="4"/>
      <c r="C975" s="4"/>
      <c r="D975" s="4"/>
      <c r="E975" s="4"/>
      <c r="F975" s="4"/>
      <c r="G975" s="4"/>
      <c r="H975" s="6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86"/>
      <c r="V975" s="86"/>
      <c r="W975" s="86"/>
      <c r="X975" s="86"/>
      <c r="Y975" s="86"/>
      <c r="Z975" s="86"/>
    </row>
    <row r="976">
      <c r="A976" s="4"/>
      <c r="B976" s="4"/>
      <c r="C976" s="4"/>
      <c r="D976" s="4"/>
      <c r="E976" s="4"/>
      <c r="F976" s="4"/>
      <c r="G976" s="4"/>
      <c r="H976" s="6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86"/>
      <c r="V976" s="86"/>
      <c r="W976" s="86"/>
      <c r="X976" s="86"/>
      <c r="Y976" s="86"/>
      <c r="Z976" s="86"/>
    </row>
    <row r="977">
      <c r="A977" s="4"/>
      <c r="B977" s="4"/>
      <c r="C977" s="4"/>
      <c r="D977" s="4"/>
      <c r="E977" s="4"/>
      <c r="F977" s="4"/>
      <c r="G977" s="4"/>
      <c r="H977" s="6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86"/>
      <c r="V977" s="86"/>
      <c r="W977" s="86"/>
      <c r="X977" s="86"/>
      <c r="Y977" s="86"/>
      <c r="Z977" s="86"/>
    </row>
    <row r="978">
      <c r="A978" s="4"/>
      <c r="B978" s="4"/>
      <c r="C978" s="4"/>
      <c r="D978" s="4"/>
      <c r="E978" s="4"/>
      <c r="F978" s="4"/>
      <c r="G978" s="4"/>
      <c r="H978" s="6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86"/>
      <c r="V978" s="86"/>
      <c r="W978" s="86"/>
      <c r="X978" s="86"/>
      <c r="Y978" s="86"/>
      <c r="Z978" s="86"/>
    </row>
    <row r="979">
      <c r="A979" s="4"/>
      <c r="B979" s="4"/>
      <c r="C979" s="4"/>
      <c r="D979" s="4"/>
      <c r="E979" s="4"/>
      <c r="F979" s="4"/>
      <c r="G979" s="4"/>
      <c r="H979" s="6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86"/>
      <c r="V979" s="86"/>
      <c r="W979" s="86"/>
      <c r="X979" s="86"/>
      <c r="Y979" s="86"/>
      <c r="Z979" s="86"/>
    </row>
    <row r="980">
      <c r="A980" s="4"/>
      <c r="B980" s="4"/>
      <c r="C980" s="4"/>
      <c r="D980" s="4"/>
      <c r="E980" s="4"/>
      <c r="F980" s="4"/>
      <c r="G980" s="4"/>
      <c r="H980" s="6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86"/>
      <c r="V980" s="86"/>
      <c r="W980" s="86"/>
      <c r="X980" s="86"/>
      <c r="Y980" s="86"/>
      <c r="Z980" s="86"/>
    </row>
    <row r="981">
      <c r="A981" s="4"/>
      <c r="B981" s="4"/>
      <c r="C981" s="4"/>
      <c r="D981" s="4"/>
      <c r="E981" s="4"/>
      <c r="F981" s="4"/>
      <c r="G981" s="4"/>
      <c r="H981" s="6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86"/>
      <c r="V981" s="86"/>
      <c r="W981" s="86"/>
      <c r="X981" s="86"/>
      <c r="Y981" s="86"/>
      <c r="Z981" s="86"/>
    </row>
    <row r="982">
      <c r="A982" s="4"/>
      <c r="B982" s="4"/>
      <c r="C982" s="4"/>
      <c r="D982" s="4"/>
      <c r="E982" s="4"/>
      <c r="F982" s="4"/>
      <c r="G982" s="4"/>
      <c r="H982" s="6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86"/>
      <c r="V982" s="86"/>
      <c r="W982" s="86"/>
      <c r="X982" s="86"/>
      <c r="Y982" s="86"/>
      <c r="Z982" s="86"/>
    </row>
    <row r="983">
      <c r="A983" s="4"/>
      <c r="B983" s="4"/>
      <c r="C983" s="4"/>
      <c r="D983" s="4"/>
      <c r="E983" s="4"/>
      <c r="F983" s="4"/>
      <c r="G983" s="4"/>
      <c r="H983" s="6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86"/>
      <c r="V983" s="86"/>
      <c r="W983" s="86"/>
      <c r="X983" s="86"/>
      <c r="Y983" s="86"/>
      <c r="Z983" s="86"/>
    </row>
    <row r="984">
      <c r="A984" s="4"/>
      <c r="B984" s="4"/>
      <c r="C984" s="4"/>
      <c r="D984" s="4"/>
      <c r="E984" s="4"/>
      <c r="F984" s="4"/>
      <c r="G984" s="4"/>
      <c r="H984" s="6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86"/>
      <c r="V984" s="86"/>
      <c r="W984" s="86"/>
      <c r="X984" s="86"/>
      <c r="Y984" s="86"/>
      <c r="Z984" s="86"/>
    </row>
    <row r="985">
      <c r="A985" s="4"/>
      <c r="B985" s="4"/>
      <c r="C985" s="4"/>
      <c r="D985" s="4"/>
      <c r="E985" s="4"/>
      <c r="F985" s="4"/>
      <c r="G985" s="4"/>
      <c r="H985" s="6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86"/>
      <c r="V985" s="86"/>
      <c r="W985" s="86"/>
      <c r="X985" s="86"/>
      <c r="Y985" s="86"/>
      <c r="Z985" s="86"/>
    </row>
    <row r="986">
      <c r="A986" s="4"/>
      <c r="B986" s="4"/>
      <c r="C986" s="4"/>
      <c r="D986" s="4"/>
      <c r="E986" s="4"/>
      <c r="F986" s="4"/>
      <c r="G986" s="4"/>
      <c r="H986" s="6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86"/>
      <c r="V986" s="86"/>
      <c r="W986" s="86"/>
      <c r="X986" s="86"/>
      <c r="Y986" s="86"/>
      <c r="Z986" s="86"/>
    </row>
    <row r="987">
      <c r="A987" s="4"/>
      <c r="B987" s="4"/>
      <c r="C987" s="4"/>
      <c r="D987" s="4"/>
      <c r="E987" s="4"/>
      <c r="F987" s="4"/>
      <c r="G987" s="4"/>
      <c r="H987" s="6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86"/>
      <c r="V987" s="86"/>
      <c r="W987" s="86"/>
      <c r="X987" s="86"/>
      <c r="Y987" s="86"/>
      <c r="Z987" s="86"/>
    </row>
    <row r="988">
      <c r="A988" s="4"/>
      <c r="B988" s="4"/>
      <c r="C988" s="4"/>
      <c r="D988" s="4"/>
      <c r="E988" s="4"/>
      <c r="F988" s="4"/>
      <c r="G988" s="4"/>
      <c r="H988" s="6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86"/>
      <c r="V988" s="86"/>
      <c r="W988" s="86"/>
      <c r="X988" s="86"/>
      <c r="Y988" s="86"/>
      <c r="Z988" s="86"/>
    </row>
    <row r="989">
      <c r="A989" s="4"/>
      <c r="B989" s="4"/>
      <c r="C989" s="4"/>
      <c r="D989" s="4"/>
      <c r="E989" s="4"/>
      <c r="F989" s="4"/>
      <c r="G989" s="4"/>
      <c r="H989" s="6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86"/>
      <c r="V989" s="86"/>
      <c r="W989" s="86"/>
      <c r="X989" s="86"/>
      <c r="Y989" s="86"/>
      <c r="Z989" s="86"/>
    </row>
    <row r="990">
      <c r="A990" s="4"/>
      <c r="B990" s="4"/>
      <c r="C990" s="4"/>
      <c r="D990" s="4"/>
      <c r="E990" s="4"/>
      <c r="F990" s="4"/>
      <c r="G990" s="4"/>
      <c r="H990" s="6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86"/>
      <c r="V990" s="86"/>
      <c r="W990" s="86"/>
      <c r="X990" s="86"/>
      <c r="Y990" s="86"/>
      <c r="Z990" s="86"/>
    </row>
    <row r="991">
      <c r="A991" s="4"/>
      <c r="B991" s="4"/>
      <c r="C991" s="4"/>
      <c r="D991" s="4"/>
      <c r="E991" s="4"/>
      <c r="F991" s="4"/>
      <c r="G991" s="4"/>
      <c r="H991" s="6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86"/>
      <c r="V991" s="86"/>
      <c r="W991" s="86"/>
      <c r="X991" s="86"/>
      <c r="Y991" s="86"/>
      <c r="Z991" s="86"/>
    </row>
    <row r="992">
      <c r="A992" s="4"/>
      <c r="B992" s="4"/>
      <c r="C992" s="4"/>
      <c r="D992" s="4"/>
      <c r="E992" s="4"/>
      <c r="F992" s="4"/>
      <c r="G992" s="4"/>
      <c r="H992" s="6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86"/>
      <c r="V992" s="86"/>
      <c r="W992" s="86"/>
      <c r="X992" s="86"/>
      <c r="Y992" s="86"/>
      <c r="Z992" s="86"/>
    </row>
    <row r="993">
      <c r="A993" s="4"/>
      <c r="B993" s="4"/>
      <c r="C993" s="4"/>
      <c r="D993" s="4"/>
      <c r="E993" s="4"/>
      <c r="F993" s="4"/>
      <c r="G993" s="4"/>
      <c r="H993" s="68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86"/>
      <c r="V993" s="86"/>
      <c r="W993" s="86"/>
      <c r="X993" s="86"/>
      <c r="Y993" s="86"/>
      <c r="Z993" s="86"/>
    </row>
    <row r="994">
      <c r="A994" s="4"/>
      <c r="B994" s="4"/>
      <c r="C994" s="4"/>
      <c r="D994" s="4"/>
      <c r="E994" s="4"/>
      <c r="F994" s="4"/>
      <c r="G994" s="4"/>
      <c r="H994" s="68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86"/>
      <c r="V994" s="86"/>
      <c r="W994" s="86"/>
      <c r="X994" s="86"/>
      <c r="Y994" s="86"/>
      <c r="Z994" s="86"/>
    </row>
    <row r="995">
      <c r="A995" s="4"/>
      <c r="B995" s="4"/>
      <c r="C995" s="4"/>
      <c r="D995" s="4"/>
      <c r="E995" s="4"/>
      <c r="F995" s="4"/>
      <c r="G995" s="4"/>
      <c r="H995" s="87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86"/>
      <c r="V995" s="86"/>
      <c r="W995" s="86"/>
      <c r="X995" s="86"/>
      <c r="Y995" s="86"/>
      <c r="Z995" s="86"/>
    </row>
    <row r="996">
      <c r="A996" s="4"/>
      <c r="B996" s="4"/>
      <c r="C996" s="4"/>
      <c r="D996" s="4"/>
      <c r="E996" s="4"/>
      <c r="F996" s="4"/>
      <c r="G996" s="4"/>
      <c r="H996" s="87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86"/>
      <c r="V996" s="86"/>
      <c r="W996" s="86"/>
      <c r="X996" s="86"/>
      <c r="Y996" s="86"/>
      <c r="Z996" s="86"/>
    </row>
    <row r="997">
      <c r="A997" s="4"/>
      <c r="B997" s="4"/>
      <c r="C997" s="4"/>
      <c r="D997" s="4"/>
      <c r="E997" s="4"/>
      <c r="F997" s="4"/>
      <c r="G997" s="4"/>
      <c r="H997" s="87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86"/>
      <c r="V997" s="86"/>
      <c r="W997" s="86"/>
      <c r="X997" s="86"/>
      <c r="Y997" s="86"/>
      <c r="Z997" s="86"/>
    </row>
    <row r="998">
      <c r="A998" s="4"/>
      <c r="B998" s="4"/>
      <c r="C998" s="4"/>
      <c r="D998" s="4"/>
      <c r="E998" s="4"/>
      <c r="F998" s="4"/>
      <c r="G998" s="4"/>
      <c r="H998" s="87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86"/>
      <c r="V998" s="86"/>
      <c r="W998" s="86"/>
      <c r="X998" s="86"/>
      <c r="Y998" s="86"/>
      <c r="Z998" s="86"/>
    </row>
    <row r="999">
      <c r="A999" s="4"/>
      <c r="B999" s="4"/>
      <c r="C999" s="4"/>
      <c r="D999" s="4"/>
      <c r="E999" s="4"/>
      <c r="F999" s="4"/>
      <c r="G999" s="4"/>
      <c r="H999" s="87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86"/>
      <c r="V999" s="86"/>
      <c r="W999" s="86"/>
      <c r="X999" s="86"/>
      <c r="Y999" s="86"/>
      <c r="Z999" s="86"/>
    </row>
    <row r="1000">
      <c r="A1000" s="4"/>
      <c r="B1000" s="4"/>
      <c r="C1000" s="4"/>
      <c r="D1000" s="4"/>
      <c r="E1000" s="4"/>
      <c r="F1000" s="4"/>
      <c r="G1000" s="4"/>
      <c r="H1000" s="87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86"/>
      <c r="V1000" s="86"/>
      <c r="W1000" s="86"/>
      <c r="X1000" s="86"/>
      <c r="Y1000" s="86"/>
      <c r="Z1000" s="86"/>
    </row>
    <row r="1001">
      <c r="A1001" s="4"/>
      <c r="B1001" s="4"/>
      <c r="C1001" s="4"/>
      <c r="D1001" s="4"/>
      <c r="E1001" s="4"/>
      <c r="F1001" s="4"/>
      <c r="G1001" s="4"/>
      <c r="H1001" s="87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86"/>
      <c r="V1001" s="86"/>
      <c r="W1001" s="86"/>
      <c r="X1001" s="86"/>
      <c r="Y1001" s="86"/>
      <c r="Z1001" s="86"/>
    </row>
    <row r="1002">
      <c r="A1002" s="4"/>
      <c r="B1002" s="4"/>
      <c r="C1002" s="4"/>
      <c r="D1002" s="4"/>
      <c r="E1002" s="4"/>
      <c r="F1002" s="4"/>
      <c r="G1002" s="4"/>
      <c r="H1002" s="87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86"/>
      <c r="V1002" s="86"/>
      <c r="W1002" s="86"/>
      <c r="X1002" s="86"/>
      <c r="Y1002" s="86"/>
      <c r="Z1002" s="86"/>
    </row>
    <row r="1003">
      <c r="A1003" s="4"/>
      <c r="B1003" s="4"/>
      <c r="C1003" s="4"/>
      <c r="D1003" s="4"/>
      <c r="E1003" s="4"/>
      <c r="F1003" s="4"/>
      <c r="G1003" s="4"/>
      <c r="H1003" s="87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86"/>
      <c r="V1003" s="86"/>
      <c r="W1003" s="86"/>
      <c r="X1003" s="86"/>
      <c r="Y1003" s="86"/>
      <c r="Z1003" s="86"/>
    </row>
    <row r="1004">
      <c r="A1004" s="4"/>
      <c r="B1004" s="4"/>
      <c r="C1004" s="4"/>
      <c r="D1004" s="4"/>
      <c r="E1004" s="4"/>
      <c r="F1004" s="4"/>
      <c r="G1004" s="4"/>
      <c r="H1004" s="87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86"/>
      <c r="V1004" s="86"/>
      <c r="W1004" s="86"/>
      <c r="X1004" s="86"/>
      <c r="Y1004" s="86"/>
      <c r="Z1004" s="86"/>
    </row>
    <row r="1005">
      <c r="A1005" s="4"/>
      <c r="B1005" s="4"/>
      <c r="C1005" s="4"/>
      <c r="D1005" s="4"/>
      <c r="E1005" s="4"/>
      <c r="F1005" s="4"/>
      <c r="G1005" s="4"/>
      <c r="H1005" s="87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86"/>
      <c r="V1005" s="86"/>
      <c r="W1005" s="86"/>
      <c r="X1005" s="86"/>
      <c r="Y1005" s="86"/>
      <c r="Z1005" s="86"/>
    </row>
  </sheetData>
  <autoFilter ref="$A$7:$G$212">
    <sortState ref="A7:G212">
      <sortCondition ref="D7:D212"/>
    </sortState>
  </autoFilter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61" t="s">
        <v>25</v>
      </c>
      <c r="C1" s="62" t="s">
        <v>26</v>
      </c>
      <c r="D1" s="63" t="s">
        <v>20</v>
      </c>
      <c r="E1" s="64" t="s">
        <v>21</v>
      </c>
      <c r="F1" s="65" t="s">
        <v>22</v>
      </c>
      <c r="G1" s="66" t="s">
        <v>23</v>
      </c>
      <c r="H1" s="67" t="s">
        <v>24</v>
      </c>
      <c r="I1" s="6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1" t="s">
        <v>27</v>
      </c>
      <c r="B2" s="69">
        <f>SUM(G7:G962)</f>
        <v>0</v>
      </c>
      <c r="C2" s="70">
        <f>SUMIF(F8:F960,"MÉDIA MULTI-ANNONCEURS",G8:G960)</f>
        <v>0</v>
      </c>
      <c r="D2" s="71">
        <f>SUMIF(F8:F960,"PROMOTIONNEL",G8:G960)</f>
        <v>0</v>
      </c>
      <c r="E2" s="72">
        <f>SUMIF(F8:F960,"DIST. PUBLICITAIRE SOLO",G8:G960)</f>
        <v>0</v>
      </c>
      <c r="F2" s="73">
        <f>SUMIF(F8:F960,"AGENCE PUB",G8:G960)</f>
        <v>0</v>
      </c>
      <c r="G2" s="74">
        <f>SUMIF(F8:F960,"AGENCE WEB",G8:G960)</f>
        <v>0</v>
      </c>
      <c r="H2" s="75">
        <f>SUMIF(F8:F960,"SERVICES IA",G8:G960)</f>
        <v>0</v>
      </c>
      <c r="I2" s="6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6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1" t="s">
        <v>28</v>
      </c>
      <c r="B4" s="69">
        <f>SUM(B8:B962)</f>
        <v>0</v>
      </c>
      <c r="C4" s="70">
        <f>SUMIF(F8:F960,"MÉDIA MULTI-ANNONCEURS",B8:B960)</f>
        <v>0</v>
      </c>
      <c r="D4" s="71">
        <f>SUMIF(F8:F960,"PROMOTIONNEL",B8:B960)</f>
        <v>0</v>
      </c>
      <c r="E4" s="72">
        <f>SUMIF(F8:F960,"DIST. PUBLICITAIRE SOLO",B8:B960)</f>
        <v>0</v>
      </c>
      <c r="F4" s="73">
        <f>SUMIF(F8:F960,"AGENCE PUB",B8:B960)</f>
        <v>0</v>
      </c>
      <c r="G4" s="74">
        <f>SUMIF(F8:F960,"AGENCE WEB",B8:B960)</f>
        <v>0</v>
      </c>
      <c r="H4" s="75">
        <f>SUMIF(F8:F960,"SERVICES IA",B8:B960)</f>
        <v>0</v>
      </c>
      <c r="I4" s="6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6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68"/>
      <c r="C6" s="68"/>
      <c r="D6" s="68"/>
      <c r="E6" s="68"/>
      <c r="F6" s="68"/>
      <c r="G6" s="68"/>
      <c r="H6" s="4"/>
      <c r="I6" s="6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1" t="s">
        <v>29</v>
      </c>
      <c r="B7" s="76" t="s">
        <v>30</v>
      </c>
      <c r="C7" s="77" t="s">
        <v>31</v>
      </c>
      <c r="D7" s="77" t="s">
        <v>32</v>
      </c>
      <c r="E7" s="76" t="s">
        <v>33</v>
      </c>
      <c r="F7" s="78" t="s">
        <v>34</v>
      </c>
      <c r="G7" s="78" t="s">
        <v>35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9"/>
      <c r="B8" s="80"/>
      <c r="C8" s="81"/>
      <c r="D8" s="82"/>
      <c r="E8" s="83"/>
      <c r="F8" s="79"/>
      <c r="G8" s="68">
        <f t="shared" ref="G8:G166" si="1">B8*0.1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79"/>
      <c r="B9" s="80"/>
      <c r="C9" s="79"/>
      <c r="D9" s="89"/>
      <c r="E9" s="83"/>
      <c r="F9" s="83"/>
      <c r="G9" s="68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79"/>
      <c r="B10" s="80"/>
      <c r="C10" s="79"/>
      <c r="D10" s="89"/>
      <c r="E10" s="83"/>
      <c r="F10" s="79"/>
      <c r="G10" s="68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79"/>
      <c r="B11" s="80"/>
      <c r="C11" s="79"/>
      <c r="D11" s="89"/>
      <c r="E11" s="83"/>
      <c r="F11" s="79"/>
      <c r="G11" s="68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79"/>
      <c r="B12" s="80"/>
      <c r="C12" s="79"/>
      <c r="D12" s="89"/>
      <c r="E12" s="83"/>
      <c r="F12" s="79"/>
      <c r="G12" s="68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79"/>
      <c r="B13" s="80"/>
      <c r="C13" s="79"/>
      <c r="D13" s="89"/>
      <c r="E13" s="83"/>
      <c r="F13" s="79"/>
      <c r="G13" s="68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79"/>
      <c r="B14" s="80"/>
      <c r="C14" s="79"/>
      <c r="D14" s="89"/>
      <c r="E14" s="83"/>
      <c r="F14" s="79"/>
      <c r="G14" s="68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79"/>
      <c r="B15" s="80"/>
      <c r="C15" s="79"/>
      <c r="D15" s="89"/>
      <c r="E15" s="83"/>
      <c r="F15" s="79"/>
      <c r="G15" s="68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90"/>
      <c r="B16" s="80"/>
      <c r="C16" s="91"/>
      <c r="D16" s="92"/>
      <c r="E16" s="93"/>
      <c r="F16" s="11"/>
      <c r="G16" s="68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90"/>
      <c r="B17" s="80"/>
      <c r="C17" s="91"/>
      <c r="D17" s="92"/>
      <c r="E17" s="93"/>
      <c r="F17" s="11"/>
      <c r="G17" s="68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90"/>
      <c r="B18" s="80"/>
      <c r="C18" s="91"/>
      <c r="D18" s="92"/>
      <c r="E18" s="93"/>
      <c r="F18" s="11"/>
      <c r="G18" s="68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94"/>
      <c r="B19" s="95"/>
      <c r="C19" s="96"/>
      <c r="D19" s="97"/>
      <c r="E19" s="85"/>
      <c r="F19" s="4"/>
      <c r="G19" s="68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98"/>
      <c r="B20" s="95"/>
      <c r="C20" s="96"/>
      <c r="D20" s="97"/>
      <c r="E20" s="85"/>
      <c r="F20" s="4"/>
      <c r="G20" s="68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98"/>
      <c r="B21" s="95"/>
      <c r="C21" s="96"/>
      <c r="D21" s="97"/>
      <c r="E21" s="85"/>
      <c r="F21" s="4"/>
      <c r="G21" s="68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94"/>
      <c r="B22" s="95"/>
      <c r="C22" s="96"/>
      <c r="D22" s="97"/>
      <c r="E22" s="85"/>
      <c r="F22" s="4"/>
      <c r="G22" s="68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98"/>
      <c r="B23" s="95"/>
      <c r="C23" s="25"/>
      <c r="D23" s="84"/>
      <c r="E23" s="85"/>
      <c r="F23" s="4"/>
      <c r="G23" s="68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98"/>
      <c r="B24" s="95"/>
      <c r="C24" s="25"/>
      <c r="D24" s="84"/>
      <c r="E24" s="85"/>
      <c r="F24" s="4"/>
      <c r="G24" s="68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98"/>
      <c r="B25" s="95"/>
      <c r="C25" s="25"/>
      <c r="D25" s="84"/>
      <c r="E25" s="85"/>
      <c r="F25" s="4"/>
      <c r="G25" s="68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98"/>
      <c r="B26" s="25"/>
      <c r="C26" s="25"/>
      <c r="D26" s="84"/>
      <c r="E26" s="85"/>
      <c r="F26" s="4"/>
      <c r="G26" s="68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98"/>
      <c r="B27" s="25"/>
      <c r="C27" s="25"/>
      <c r="D27" s="84"/>
      <c r="E27" s="85"/>
      <c r="F27" s="4"/>
      <c r="G27" s="68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98"/>
      <c r="B28" s="25"/>
      <c r="C28" s="25"/>
      <c r="D28" s="84"/>
      <c r="E28" s="85"/>
      <c r="F28" s="4"/>
      <c r="G28" s="68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84"/>
      <c r="B29" s="25"/>
      <c r="C29" s="25"/>
      <c r="D29" s="25"/>
      <c r="E29" s="85"/>
      <c r="F29" s="4"/>
      <c r="G29" s="68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84"/>
      <c r="B30" s="25"/>
      <c r="C30" s="25"/>
      <c r="D30" s="25"/>
      <c r="E30" s="85"/>
      <c r="F30" s="4"/>
      <c r="G30" s="68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84"/>
      <c r="B31" s="25"/>
      <c r="C31" s="25"/>
      <c r="D31" s="25"/>
      <c r="E31" s="85"/>
      <c r="F31" s="4"/>
      <c r="G31" s="68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84"/>
      <c r="B32" s="25"/>
      <c r="C32" s="25"/>
      <c r="D32" s="25"/>
      <c r="E32" s="85"/>
      <c r="F32" s="4"/>
      <c r="G32" s="68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84"/>
      <c r="B33" s="25"/>
      <c r="C33" s="25"/>
      <c r="D33" s="25"/>
      <c r="E33" s="85"/>
      <c r="F33" s="4"/>
      <c r="G33" s="68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84"/>
      <c r="B34" s="25"/>
      <c r="C34" s="25"/>
      <c r="D34" s="25"/>
      <c r="E34" s="85"/>
      <c r="F34" s="4"/>
      <c r="G34" s="68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84"/>
      <c r="B35" s="25"/>
      <c r="C35" s="25"/>
      <c r="D35" s="25"/>
      <c r="E35" s="85"/>
      <c r="F35" s="4"/>
      <c r="G35" s="68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84"/>
      <c r="B36" s="25"/>
      <c r="C36" s="25"/>
      <c r="D36" s="25"/>
      <c r="E36" s="85"/>
      <c r="F36" s="4"/>
      <c r="G36" s="68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84"/>
      <c r="B37" s="25"/>
      <c r="C37" s="25"/>
      <c r="D37" s="25"/>
      <c r="E37" s="85"/>
      <c r="F37" s="4"/>
      <c r="G37" s="68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85"/>
      <c r="F38" s="4"/>
      <c r="G38" s="68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85"/>
      <c r="F39" s="4"/>
      <c r="G39" s="68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85"/>
      <c r="F40" s="4"/>
      <c r="G40" s="68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85"/>
      <c r="F41" s="4"/>
      <c r="G41" s="68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85"/>
      <c r="F42" s="4"/>
      <c r="G42" s="68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85"/>
      <c r="F43" s="4"/>
      <c r="G43" s="68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85"/>
      <c r="F44" s="4"/>
      <c r="G44" s="68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85"/>
      <c r="F45" s="4"/>
      <c r="G45" s="68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85"/>
      <c r="F46" s="4"/>
      <c r="G46" s="68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85"/>
      <c r="F47" s="4"/>
      <c r="G47" s="68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85"/>
      <c r="F48" s="4"/>
      <c r="G48" s="68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85"/>
      <c r="F49" s="4"/>
      <c r="G49" s="68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85"/>
      <c r="F50" s="4"/>
      <c r="G50" s="68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85"/>
      <c r="F51" s="4"/>
      <c r="G51" s="68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85"/>
      <c r="F52" s="4"/>
      <c r="G52" s="68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85"/>
      <c r="F53" s="4"/>
      <c r="G53" s="68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85"/>
      <c r="F54" s="4"/>
      <c r="G54" s="68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85"/>
      <c r="F55" s="4"/>
      <c r="G55" s="68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85"/>
      <c r="F56" s="4"/>
      <c r="G56" s="68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85"/>
      <c r="F57" s="4"/>
      <c r="G57" s="68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85"/>
      <c r="F58" s="4"/>
      <c r="G58" s="68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85"/>
      <c r="F59" s="4"/>
      <c r="G59" s="68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85"/>
      <c r="F60" s="4"/>
      <c r="G60" s="68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85"/>
      <c r="F61" s="4"/>
      <c r="G61" s="68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85"/>
      <c r="F62" s="4"/>
      <c r="G62" s="68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85"/>
      <c r="F63" s="4"/>
      <c r="G63" s="68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85"/>
      <c r="F64" s="4"/>
      <c r="G64" s="68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85"/>
      <c r="F65" s="4"/>
      <c r="G65" s="68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85"/>
      <c r="F66" s="4"/>
      <c r="G66" s="68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85"/>
      <c r="F67" s="4"/>
      <c r="G67" s="68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85"/>
      <c r="F68" s="4"/>
      <c r="G68" s="68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85"/>
      <c r="F69" s="4"/>
      <c r="G69" s="68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85"/>
      <c r="F70" s="4"/>
      <c r="G70" s="68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85"/>
      <c r="F71" s="4"/>
      <c r="G71" s="68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85"/>
      <c r="F72" s="4"/>
      <c r="G72" s="68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85"/>
      <c r="F73" s="4"/>
      <c r="G73" s="68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85"/>
      <c r="F74" s="4"/>
      <c r="G74" s="68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85"/>
      <c r="F75" s="4"/>
      <c r="G75" s="68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85"/>
      <c r="F76" s="4"/>
      <c r="G76" s="68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85"/>
      <c r="F77" s="4"/>
      <c r="G77" s="68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85"/>
      <c r="F78" s="4"/>
      <c r="G78" s="68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85"/>
      <c r="F79" s="4"/>
      <c r="G79" s="68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85"/>
      <c r="F80" s="4"/>
      <c r="G80" s="68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85"/>
      <c r="F81" s="4"/>
      <c r="G81" s="68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85"/>
      <c r="F82" s="4"/>
      <c r="G82" s="68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85"/>
      <c r="F83" s="4"/>
      <c r="G83" s="68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85"/>
      <c r="F84" s="4"/>
      <c r="G84" s="68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85"/>
      <c r="F85" s="4"/>
      <c r="G85" s="68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85"/>
      <c r="F86" s="4"/>
      <c r="G86" s="68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85"/>
      <c r="F87" s="4"/>
      <c r="G87" s="68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85"/>
      <c r="F88" s="4"/>
      <c r="G88" s="68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85"/>
      <c r="F89" s="4"/>
      <c r="G89" s="68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85"/>
      <c r="F90" s="4"/>
      <c r="G90" s="68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85"/>
      <c r="F91" s="4"/>
      <c r="G91" s="68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85"/>
      <c r="F92" s="4"/>
      <c r="G92" s="68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85"/>
      <c r="F93" s="4"/>
      <c r="G93" s="68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85"/>
      <c r="F94" s="4"/>
      <c r="G94" s="68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85"/>
      <c r="F95" s="4"/>
      <c r="G95" s="68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85"/>
      <c r="F96" s="4"/>
      <c r="G96" s="68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85"/>
      <c r="F97" s="4"/>
      <c r="G97" s="68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85"/>
      <c r="F98" s="4"/>
      <c r="G98" s="68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85"/>
      <c r="F99" s="4"/>
      <c r="G99" s="68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85"/>
      <c r="F100" s="4"/>
      <c r="G100" s="68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85"/>
      <c r="F101" s="4"/>
      <c r="G101" s="68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85"/>
      <c r="F102" s="4"/>
      <c r="G102" s="68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85"/>
      <c r="F103" s="4"/>
      <c r="G103" s="68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85"/>
      <c r="F104" s="4"/>
      <c r="G104" s="68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85"/>
      <c r="F105" s="4"/>
      <c r="G105" s="68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85"/>
      <c r="F106" s="4"/>
      <c r="G106" s="68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85"/>
      <c r="F107" s="4"/>
      <c r="G107" s="68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85"/>
      <c r="F108" s="4"/>
      <c r="G108" s="68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85"/>
      <c r="F109" s="4"/>
      <c r="G109" s="68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85"/>
      <c r="F110" s="4"/>
      <c r="G110" s="68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85"/>
      <c r="F111" s="4"/>
      <c r="G111" s="68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85"/>
      <c r="F112" s="4"/>
      <c r="G112" s="68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85"/>
      <c r="F113" s="4"/>
      <c r="G113" s="68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85"/>
      <c r="F114" s="4"/>
      <c r="G114" s="68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85"/>
      <c r="F115" s="4"/>
      <c r="G115" s="68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85"/>
      <c r="F116" s="4"/>
      <c r="G116" s="68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85"/>
      <c r="F117" s="4"/>
      <c r="G117" s="68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85"/>
      <c r="F118" s="4"/>
      <c r="G118" s="68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85"/>
      <c r="F119" s="4"/>
      <c r="G119" s="68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85"/>
      <c r="F120" s="4"/>
      <c r="G120" s="68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85"/>
      <c r="F121" s="4"/>
      <c r="G121" s="68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85"/>
      <c r="F122" s="4"/>
      <c r="G122" s="68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85"/>
      <c r="F123" s="4"/>
      <c r="G123" s="68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85"/>
      <c r="F124" s="4"/>
      <c r="G124" s="68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85"/>
      <c r="F125" s="4"/>
      <c r="G125" s="68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85"/>
      <c r="F126" s="4"/>
      <c r="G126" s="68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85"/>
      <c r="F127" s="4"/>
      <c r="G127" s="68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85"/>
      <c r="F128" s="4"/>
      <c r="G128" s="68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85"/>
      <c r="F129" s="4"/>
      <c r="G129" s="68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85"/>
      <c r="F130" s="4"/>
      <c r="G130" s="68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85"/>
      <c r="F131" s="4"/>
      <c r="G131" s="68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85"/>
      <c r="F132" s="4"/>
      <c r="G132" s="68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85"/>
      <c r="F133" s="4"/>
      <c r="G133" s="68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85"/>
      <c r="F134" s="4"/>
      <c r="G134" s="68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85"/>
      <c r="F135" s="4"/>
      <c r="G135" s="68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85"/>
      <c r="F136" s="4"/>
      <c r="G136" s="68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85"/>
      <c r="F137" s="4"/>
      <c r="G137" s="68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85"/>
      <c r="F138" s="4"/>
      <c r="G138" s="68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85"/>
      <c r="F139" s="4"/>
      <c r="G139" s="68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85"/>
      <c r="F140" s="4"/>
      <c r="G140" s="68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85"/>
      <c r="F141" s="4"/>
      <c r="G141" s="68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85"/>
      <c r="F142" s="4"/>
      <c r="G142" s="68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85"/>
      <c r="F143" s="4"/>
      <c r="G143" s="68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85"/>
      <c r="F144" s="4"/>
      <c r="G144" s="68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68"/>
      <c r="G145" s="68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68"/>
      <c r="G146" s="68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68"/>
      <c r="G147" s="68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68"/>
      <c r="G148" s="68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68"/>
      <c r="G149" s="68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68"/>
      <c r="G150" s="68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68"/>
      <c r="G151" s="68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68"/>
      <c r="G152" s="68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68"/>
      <c r="G153" s="68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68"/>
      <c r="G154" s="68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68"/>
      <c r="G155" s="68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68"/>
      <c r="G156" s="68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68"/>
      <c r="G157" s="68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68"/>
      <c r="G158" s="68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68"/>
      <c r="G159" s="68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68"/>
      <c r="G160" s="68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68"/>
      <c r="G161" s="68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68"/>
      <c r="G162" s="68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68"/>
      <c r="G163" s="68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68"/>
      <c r="G164" s="68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68"/>
      <c r="G165" s="68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68"/>
      <c r="G166" s="68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68"/>
      <c r="G167" s="68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68"/>
      <c r="G168" s="68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68"/>
      <c r="G169" s="68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68"/>
      <c r="G170" s="68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68"/>
      <c r="G171" s="68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68"/>
      <c r="G172" s="68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68"/>
      <c r="G173" s="68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68"/>
      <c r="G174" s="68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68"/>
      <c r="G175" s="68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68"/>
      <c r="G176" s="68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68"/>
      <c r="G177" s="68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68"/>
      <c r="G178" s="68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68"/>
      <c r="G179" s="68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68"/>
      <c r="G180" s="68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68"/>
      <c r="G181" s="68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68"/>
      <c r="G182" s="68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68"/>
      <c r="G183" s="68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68"/>
      <c r="G184" s="68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68"/>
      <c r="G185" s="68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68"/>
      <c r="G186" s="68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68"/>
      <c r="G187" s="68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68"/>
      <c r="G188" s="68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68"/>
      <c r="G189" s="68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68"/>
      <c r="G190" s="68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68"/>
      <c r="G191" s="68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68"/>
      <c r="G192" s="68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68"/>
      <c r="G193" s="68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68"/>
      <c r="G194" s="68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68"/>
      <c r="G195" s="68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68"/>
      <c r="G196" s="68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68"/>
      <c r="G197" s="68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68"/>
      <c r="G198" s="68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68"/>
      <c r="G199" s="68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68"/>
      <c r="G200" s="68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68"/>
      <c r="G201" s="68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68"/>
      <c r="G202" s="68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68"/>
      <c r="G203" s="68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68"/>
      <c r="G204" s="68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68"/>
      <c r="G205" s="68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68"/>
      <c r="G206" s="68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68"/>
      <c r="G207" s="68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68"/>
      <c r="G208" s="68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68"/>
      <c r="G209" s="68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68"/>
      <c r="G210" s="68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68"/>
      <c r="G211" s="68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68"/>
      <c r="G212" s="68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6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6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6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6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6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6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6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6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6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6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6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6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6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6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6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6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6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6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6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6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6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6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6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6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6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6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6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6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6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6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6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6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6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6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6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6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6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6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6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6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6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6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6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6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6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6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6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6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6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6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6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6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6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6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6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6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6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6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6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6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6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6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6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6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6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6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6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6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6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6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6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6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6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6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6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6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6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6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6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6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6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6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6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6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6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6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6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6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6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6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6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6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6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6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6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6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6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6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6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6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6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6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6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6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6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6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6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6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6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6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6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6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6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6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6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6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6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6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6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6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6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6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6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6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6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6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6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6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6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6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6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6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6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6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6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6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6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6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6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6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6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6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6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6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6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6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6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6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6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6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6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6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6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6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6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6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6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6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6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6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6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6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6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6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6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6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6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6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6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6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6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6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6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6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6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6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6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6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6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6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6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6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6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6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6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6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6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6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6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6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6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6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6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6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6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6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6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6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6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6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6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6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6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6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6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6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6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6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6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6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6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6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6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6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6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6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6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6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6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6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6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6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6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6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6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6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6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6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6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6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6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6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6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6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6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6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6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6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6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6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6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6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6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6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6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6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6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6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6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6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6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6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6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6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6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6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6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6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6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6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6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6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6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6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6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6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6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6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6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6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6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6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6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6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6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6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6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6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6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6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6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6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6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6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6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6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6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6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6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6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6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6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6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6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6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6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6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6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6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6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6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6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6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6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6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6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6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6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6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6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6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6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6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6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6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6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6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6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6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6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6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6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6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6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6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6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6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6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6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6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6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6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6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6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6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6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6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6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6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6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6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6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6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6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6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6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6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6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6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6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6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6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6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6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6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6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6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6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6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6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6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6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6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6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6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6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6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6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6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6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6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6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6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6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6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6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6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6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6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6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6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6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6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6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6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6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6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6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6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6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6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6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6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6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6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6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6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6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6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6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6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6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6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6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6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6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6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6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6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6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6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6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6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6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6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6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6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6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6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6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6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6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6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6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6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6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6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6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6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6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6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6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6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6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6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6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6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6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6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6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6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6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6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6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6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6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6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6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6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6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6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6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6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6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6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6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6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6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6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6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6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6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6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6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6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6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6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6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6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6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6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6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6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6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6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6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6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6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6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6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6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6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6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6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6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6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6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6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6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6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6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6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6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6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6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6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6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6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6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6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6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6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6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6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6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6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6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6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6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6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6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6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6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6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6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6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6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6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6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6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6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6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6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6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6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6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6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6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6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6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6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6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6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6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6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6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6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6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6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6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6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6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6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6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6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6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6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6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6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6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6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6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6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6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6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6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6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6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6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6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6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6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6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6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6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6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6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6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6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6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6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6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6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6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6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6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6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6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6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6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6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6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6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6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6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6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6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6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6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6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6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6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6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6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6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6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6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6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6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6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6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6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6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6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6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6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6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6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6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6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6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6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6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6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6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6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6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6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6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6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6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6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6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6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6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6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6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6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6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6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6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6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6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6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6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6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6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6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6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6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6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6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6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6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6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6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6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6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6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6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6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6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6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6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6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6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6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6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6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6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6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6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6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6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6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6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6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6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6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6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6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6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6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6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6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6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6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6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6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6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6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6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6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6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6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6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6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6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6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6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6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6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6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6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6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6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6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6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6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6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6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6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6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6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6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6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6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6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6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6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6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6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6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6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6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6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6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6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6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6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6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6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6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6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6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6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6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6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6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6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6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6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6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6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6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6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6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6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6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6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6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6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6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6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6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6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6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6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6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6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6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6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6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6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6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6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6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6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6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86"/>
      <c r="V971" s="86"/>
      <c r="W971" s="86"/>
      <c r="X971" s="86"/>
      <c r="Y971" s="86"/>
      <c r="Z971" s="86"/>
    </row>
    <row r="972">
      <c r="A972" s="4"/>
      <c r="B972" s="4"/>
      <c r="C972" s="4"/>
      <c r="D972" s="4"/>
      <c r="E972" s="4"/>
      <c r="F972" s="4"/>
      <c r="G972" s="4"/>
      <c r="H972" s="6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86"/>
      <c r="V972" s="86"/>
      <c r="W972" s="86"/>
      <c r="X972" s="86"/>
      <c r="Y972" s="86"/>
      <c r="Z972" s="86"/>
    </row>
    <row r="973">
      <c r="A973" s="4"/>
      <c r="B973" s="4"/>
      <c r="C973" s="4"/>
      <c r="D973" s="4"/>
      <c r="E973" s="4"/>
      <c r="F973" s="4"/>
      <c r="G973" s="4"/>
      <c r="H973" s="6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86"/>
      <c r="V973" s="86"/>
      <c r="W973" s="86"/>
      <c r="X973" s="86"/>
      <c r="Y973" s="86"/>
      <c r="Z973" s="86"/>
    </row>
    <row r="974">
      <c r="A974" s="4"/>
      <c r="B974" s="4"/>
      <c r="C974" s="4"/>
      <c r="D974" s="4"/>
      <c r="E974" s="4"/>
      <c r="F974" s="4"/>
      <c r="G974" s="4"/>
      <c r="H974" s="6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86"/>
      <c r="V974" s="86"/>
      <c r="W974" s="86"/>
      <c r="X974" s="86"/>
      <c r="Y974" s="86"/>
      <c r="Z974" s="86"/>
    </row>
    <row r="975">
      <c r="A975" s="4"/>
      <c r="B975" s="4"/>
      <c r="C975" s="4"/>
      <c r="D975" s="4"/>
      <c r="E975" s="4"/>
      <c r="F975" s="4"/>
      <c r="G975" s="4"/>
      <c r="H975" s="6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86"/>
      <c r="V975" s="86"/>
      <c r="W975" s="86"/>
      <c r="X975" s="86"/>
      <c r="Y975" s="86"/>
      <c r="Z975" s="86"/>
    </row>
    <row r="976">
      <c r="A976" s="4"/>
      <c r="B976" s="4"/>
      <c r="C976" s="4"/>
      <c r="D976" s="4"/>
      <c r="E976" s="4"/>
      <c r="F976" s="4"/>
      <c r="G976" s="4"/>
      <c r="H976" s="6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86"/>
      <c r="V976" s="86"/>
      <c r="W976" s="86"/>
      <c r="X976" s="86"/>
      <c r="Y976" s="86"/>
      <c r="Z976" s="86"/>
    </row>
    <row r="977">
      <c r="A977" s="4"/>
      <c r="B977" s="4"/>
      <c r="C977" s="4"/>
      <c r="D977" s="4"/>
      <c r="E977" s="4"/>
      <c r="F977" s="4"/>
      <c r="G977" s="4"/>
      <c r="H977" s="6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86"/>
      <c r="V977" s="86"/>
      <c r="W977" s="86"/>
      <c r="X977" s="86"/>
      <c r="Y977" s="86"/>
      <c r="Z977" s="86"/>
    </row>
    <row r="978">
      <c r="A978" s="4"/>
      <c r="B978" s="4"/>
      <c r="C978" s="4"/>
      <c r="D978" s="4"/>
      <c r="E978" s="4"/>
      <c r="F978" s="4"/>
      <c r="G978" s="4"/>
      <c r="H978" s="6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86"/>
      <c r="V978" s="86"/>
      <c r="W978" s="86"/>
      <c r="X978" s="86"/>
      <c r="Y978" s="86"/>
      <c r="Z978" s="86"/>
    </row>
    <row r="979">
      <c r="A979" s="4"/>
      <c r="B979" s="4"/>
      <c r="C979" s="4"/>
      <c r="D979" s="4"/>
      <c r="E979" s="4"/>
      <c r="F979" s="4"/>
      <c r="G979" s="4"/>
      <c r="H979" s="6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86"/>
      <c r="V979" s="86"/>
      <c r="W979" s="86"/>
      <c r="X979" s="86"/>
      <c r="Y979" s="86"/>
      <c r="Z979" s="86"/>
    </row>
    <row r="980">
      <c r="A980" s="4"/>
      <c r="B980" s="4"/>
      <c r="C980" s="4"/>
      <c r="D980" s="4"/>
      <c r="E980" s="4"/>
      <c r="F980" s="4"/>
      <c r="G980" s="4"/>
      <c r="H980" s="6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86"/>
      <c r="V980" s="86"/>
      <c r="W980" s="86"/>
      <c r="X980" s="86"/>
      <c r="Y980" s="86"/>
      <c r="Z980" s="86"/>
    </row>
    <row r="981">
      <c r="A981" s="4"/>
      <c r="B981" s="4"/>
      <c r="C981" s="4"/>
      <c r="D981" s="4"/>
      <c r="E981" s="4"/>
      <c r="F981" s="4"/>
      <c r="G981" s="4"/>
      <c r="H981" s="6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86"/>
      <c r="V981" s="86"/>
      <c r="W981" s="86"/>
      <c r="X981" s="86"/>
      <c r="Y981" s="86"/>
      <c r="Z981" s="86"/>
    </row>
    <row r="982">
      <c r="A982" s="4"/>
      <c r="B982" s="4"/>
      <c r="C982" s="4"/>
      <c r="D982" s="4"/>
      <c r="E982" s="4"/>
      <c r="F982" s="4"/>
      <c r="G982" s="4"/>
      <c r="H982" s="6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86"/>
      <c r="V982" s="86"/>
      <c r="W982" s="86"/>
      <c r="X982" s="86"/>
      <c r="Y982" s="86"/>
      <c r="Z982" s="86"/>
    </row>
    <row r="983">
      <c r="A983" s="4"/>
      <c r="B983" s="4"/>
      <c r="C983" s="4"/>
      <c r="D983" s="4"/>
      <c r="E983" s="4"/>
      <c r="F983" s="4"/>
      <c r="G983" s="4"/>
      <c r="H983" s="6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86"/>
      <c r="V983" s="86"/>
      <c r="W983" s="86"/>
      <c r="X983" s="86"/>
      <c r="Y983" s="86"/>
      <c r="Z983" s="86"/>
    </row>
    <row r="984">
      <c r="A984" s="4"/>
      <c r="B984" s="4"/>
      <c r="C984" s="4"/>
      <c r="D984" s="4"/>
      <c r="E984" s="4"/>
      <c r="F984" s="4"/>
      <c r="G984" s="4"/>
      <c r="H984" s="6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86"/>
      <c r="V984" s="86"/>
      <c r="W984" s="86"/>
      <c r="X984" s="86"/>
      <c r="Y984" s="86"/>
      <c r="Z984" s="86"/>
    </row>
    <row r="985">
      <c r="A985" s="4"/>
      <c r="B985" s="4"/>
      <c r="C985" s="4"/>
      <c r="D985" s="4"/>
      <c r="E985" s="4"/>
      <c r="F985" s="4"/>
      <c r="G985" s="4"/>
      <c r="H985" s="6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86"/>
      <c r="V985" s="86"/>
      <c r="W985" s="86"/>
      <c r="X985" s="86"/>
      <c r="Y985" s="86"/>
      <c r="Z985" s="86"/>
    </row>
    <row r="986">
      <c r="A986" s="4"/>
      <c r="B986" s="4"/>
      <c r="C986" s="4"/>
      <c r="D986" s="4"/>
      <c r="E986" s="4"/>
      <c r="F986" s="4"/>
      <c r="G986" s="4"/>
      <c r="H986" s="6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86"/>
      <c r="V986" s="86"/>
      <c r="W986" s="86"/>
      <c r="X986" s="86"/>
      <c r="Y986" s="86"/>
      <c r="Z986" s="86"/>
    </row>
    <row r="987">
      <c r="A987" s="4"/>
      <c r="B987" s="4"/>
      <c r="C987" s="4"/>
      <c r="D987" s="4"/>
      <c r="E987" s="4"/>
      <c r="F987" s="4"/>
      <c r="G987" s="4"/>
      <c r="H987" s="6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86"/>
      <c r="V987" s="86"/>
      <c r="W987" s="86"/>
      <c r="X987" s="86"/>
      <c r="Y987" s="86"/>
      <c r="Z987" s="86"/>
    </row>
    <row r="988">
      <c r="A988" s="4"/>
      <c r="B988" s="4"/>
      <c r="C988" s="4"/>
      <c r="D988" s="4"/>
      <c r="E988" s="4"/>
      <c r="F988" s="4"/>
      <c r="G988" s="4"/>
      <c r="H988" s="6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86"/>
      <c r="V988" s="86"/>
      <c r="W988" s="86"/>
      <c r="X988" s="86"/>
      <c r="Y988" s="86"/>
      <c r="Z988" s="86"/>
    </row>
    <row r="989">
      <c r="A989" s="4"/>
      <c r="B989" s="4"/>
      <c r="C989" s="4"/>
      <c r="D989" s="4"/>
      <c r="E989" s="4"/>
      <c r="F989" s="4"/>
      <c r="G989" s="4"/>
      <c r="H989" s="6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86"/>
      <c r="V989" s="86"/>
      <c r="W989" s="86"/>
      <c r="X989" s="86"/>
      <c r="Y989" s="86"/>
      <c r="Z989" s="86"/>
    </row>
    <row r="990">
      <c r="A990" s="4"/>
      <c r="B990" s="4"/>
      <c r="C990" s="4"/>
      <c r="D990" s="4"/>
      <c r="E990" s="4"/>
      <c r="F990" s="4"/>
      <c r="G990" s="4"/>
      <c r="H990" s="6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86"/>
      <c r="V990" s="86"/>
      <c r="W990" s="86"/>
      <c r="X990" s="86"/>
      <c r="Y990" s="86"/>
      <c r="Z990" s="86"/>
    </row>
    <row r="991">
      <c r="A991" s="4"/>
      <c r="B991" s="4"/>
      <c r="C991" s="4"/>
      <c r="D991" s="4"/>
      <c r="E991" s="4"/>
      <c r="F991" s="4"/>
      <c r="G991" s="4"/>
      <c r="H991" s="6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86"/>
      <c r="V991" s="86"/>
      <c r="W991" s="86"/>
      <c r="X991" s="86"/>
      <c r="Y991" s="86"/>
      <c r="Z991" s="86"/>
    </row>
    <row r="992">
      <c r="A992" s="4"/>
      <c r="B992" s="4"/>
      <c r="C992" s="4"/>
      <c r="D992" s="4"/>
      <c r="E992" s="4"/>
      <c r="F992" s="4"/>
      <c r="G992" s="4"/>
      <c r="H992" s="6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86"/>
      <c r="V992" s="86"/>
      <c r="W992" s="86"/>
      <c r="X992" s="86"/>
      <c r="Y992" s="86"/>
      <c r="Z992" s="86"/>
    </row>
    <row r="993">
      <c r="A993" s="4"/>
      <c r="B993" s="4"/>
      <c r="C993" s="4"/>
      <c r="D993" s="4"/>
      <c r="E993" s="4"/>
      <c r="F993" s="4"/>
      <c r="G993" s="4"/>
      <c r="H993" s="68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86"/>
      <c r="V993" s="86"/>
      <c r="W993" s="86"/>
      <c r="X993" s="86"/>
      <c r="Y993" s="86"/>
      <c r="Z993" s="86"/>
    </row>
    <row r="994">
      <c r="A994" s="4"/>
      <c r="B994" s="4"/>
      <c r="C994" s="4"/>
      <c r="D994" s="4"/>
      <c r="E994" s="4"/>
      <c r="F994" s="4"/>
      <c r="G994" s="4"/>
      <c r="H994" s="68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86"/>
      <c r="V994" s="86"/>
      <c r="W994" s="86"/>
      <c r="X994" s="86"/>
      <c r="Y994" s="86"/>
      <c r="Z994" s="86"/>
    </row>
    <row r="995">
      <c r="A995" s="4"/>
      <c r="B995" s="4"/>
      <c r="C995" s="4"/>
      <c r="D995" s="4"/>
      <c r="E995" s="4"/>
      <c r="F995" s="4"/>
      <c r="G995" s="4"/>
      <c r="H995" s="87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86"/>
      <c r="V995" s="86"/>
      <c r="W995" s="86"/>
      <c r="X995" s="86"/>
      <c r="Y995" s="86"/>
      <c r="Z995" s="86"/>
    </row>
    <row r="996">
      <c r="A996" s="4"/>
      <c r="B996" s="4"/>
      <c r="C996" s="4"/>
      <c r="D996" s="4"/>
      <c r="E996" s="4"/>
      <c r="F996" s="4"/>
      <c r="G996" s="4"/>
      <c r="H996" s="87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86"/>
      <c r="V996" s="86"/>
      <c r="W996" s="86"/>
      <c r="X996" s="86"/>
      <c r="Y996" s="86"/>
      <c r="Z996" s="86"/>
    </row>
    <row r="997">
      <c r="A997" s="4"/>
      <c r="B997" s="4"/>
      <c r="C997" s="4"/>
      <c r="D997" s="4"/>
      <c r="E997" s="4"/>
      <c r="F997" s="4"/>
      <c r="G997" s="4"/>
      <c r="H997" s="87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86"/>
      <c r="V997" s="86"/>
      <c r="W997" s="86"/>
      <c r="X997" s="86"/>
      <c r="Y997" s="86"/>
      <c r="Z997" s="86"/>
    </row>
    <row r="998">
      <c r="A998" s="4"/>
      <c r="B998" s="4"/>
      <c r="C998" s="4"/>
      <c r="D998" s="4"/>
      <c r="E998" s="4"/>
      <c r="F998" s="4"/>
      <c r="G998" s="4"/>
      <c r="H998" s="87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86"/>
      <c r="V998" s="86"/>
      <c r="W998" s="86"/>
      <c r="X998" s="86"/>
      <c r="Y998" s="86"/>
      <c r="Z998" s="86"/>
    </row>
    <row r="999">
      <c r="A999" s="4"/>
      <c r="B999" s="4"/>
      <c r="C999" s="4"/>
      <c r="D999" s="4"/>
      <c r="E999" s="4"/>
      <c r="F999" s="4"/>
      <c r="G999" s="4"/>
      <c r="H999" s="87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86"/>
      <c r="V999" s="86"/>
      <c r="W999" s="86"/>
      <c r="X999" s="86"/>
      <c r="Y999" s="86"/>
      <c r="Z999" s="86"/>
    </row>
    <row r="1000">
      <c r="A1000" s="4"/>
      <c r="B1000" s="4"/>
      <c r="C1000" s="4"/>
      <c r="D1000" s="4"/>
      <c r="E1000" s="4"/>
      <c r="F1000" s="4"/>
      <c r="G1000" s="4"/>
      <c r="H1000" s="87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86"/>
      <c r="V1000" s="86"/>
      <c r="W1000" s="86"/>
      <c r="X1000" s="86"/>
      <c r="Y1000" s="86"/>
      <c r="Z1000" s="86"/>
    </row>
    <row r="1001">
      <c r="A1001" s="4"/>
      <c r="B1001" s="4"/>
      <c r="C1001" s="4"/>
      <c r="D1001" s="4"/>
      <c r="E1001" s="4"/>
      <c r="F1001" s="4"/>
      <c r="G1001" s="4"/>
      <c r="H1001" s="87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86"/>
      <c r="V1001" s="86"/>
      <c r="W1001" s="86"/>
      <c r="X1001" s="86"/>
      <c r="Y1001" s="86"/>
      <c r="Z1001" s="86"/>
    </row>
    <row r="1002">
      <c r="A1002" s="4"/>
      <c r="B1002" s="4"/>
      <c r="C1002" s="4"/>
      <c r="D1002" s="4"/>
      <c r="E1002" s="4"/>
      <c r="F1002" s="4"/>
      <c r="G1002" s="4"/>
      <c r="H1002" s="87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86"/>
      <c r="V1002" s="86"/>
      <c r="W1002" s="86"/>
      <c r="X1002" s="86"/>
      <c r="Y1002" s="86"/>
      <c r="Z1002" s="86"/>
    </row>
    <row r="1003">
      <c r="A1003" s="4"/>
      <c r="B1003" s="4"/>
      <c r="C1003" s="4"/>
      <c r="D1003" s="4"/>
      <c r="E1003" s="4"/>
      <c r="F1003" s="4"/>
      <c r="G1003" s="4"/>
      <c r="H1003" s="87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86"/>
      <c r="V1003" s="86"/>
      <c r="W1003" s="86"/>
      <c r="X1003" s="86"/>
      <c r="Y1003" s="86"/>
      <c r="Z1003" s="86"/>
    </row>
    <row r="1004">
      <c r="A1004" s="4"/>
      <c r="B1004" s="4"/>
      <c r="C1004" s="4"/>
      <c r="D1004" s="4"/>
      <c r="E1004" s="4"/>
      <c r="F1004" s="4"/>
      <c r="G1004" s="4"/>
      <c r="H1004" s="87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86"/>
      <c r="V1004" s="86"/>
      <c r="W1004" s="86"/>
      <c r="X1004" s="86"/>
      <c r="Y1004" s="86"/>
      <c r="Z1004" s="86"/>
    </row>
    <row r="1005">
      <c r="A1005" s="4"/>
      <c r="B1005" s="4"/>
      <c r="C1005" s="4"/>
      <c r="D1005" s="4"/>
      <c r="E1005" s="4"/>
      <c r="F1005" s="4"/>
      <c r="G1005" s="4"/>
      <c r="H1005" s="87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86"/>
      <c r="V1005" s="86"/>
      <c r="W1005" s="86"/>
      <c r="X1005" s="86"/>
      <c r="Y1005" s="86"/>
      <c r="Z1005" s="86"/>
    </row>
  </sheetData>
  <autoFilter ref="$A$7:$G$212">
    <sortState ref="A7:G212">
      <sortCondition ref="D7:D212"/>
    </sortState>
  </autoFilter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61" t="s">
        <v>25</v>
      </c>
      <c r="C1" s="62" t="s">
        <v>26</v>
      </c>
      <c r="D1" s="63" t="s">
        <v>20</v>
      </c>
      <c r="E1" s="64" t="s">
        <v>21</v>
      </c>
      <c r="F1" s="65" t="s">
        <v>22</v>
      </c>
      <c r="G1" s="66" t="s">
        <v>23</v>
      </c>
      <c r="H1" s="67" t="s">
        <v>24</v>
      </c>
      <c r="I1" s="6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1" t="s">
        <v>27</v>
      </c>
      <c r="B2" s="69">
        <f>SUM(G7:G962)</f>
        <v>0</v>
      </c>
      <c r="C2" s="70">
        <f>SUMIF(F8:F960,"MÉDIA MULTI-ANNONCEURS",G8:G960)</f>
        <v>0</v>
      </c>
      <c r="D2" s="71">
        <f>SUMIF(F8:F960,"PROMOTIONNEL",G8:G960)</f>
        <v>0</v>
      </c>
      <c r="E2" s="72">
        <f>SUMIF(F8:F960,"DIST. PUBLICITAIRE SOLO",G8:G960)</f>
        <v>0</v>
      </c>
      <c r="F2" s="73">
        <f>SUMIF(F8:F960,"AGENCE PUB",G8:G960)</f>
        <v>0</v>
      </c>
      <c r="G2" s="74">
        <f>SUMIF(F8:F960,"AGENCE WEB",G8:G960)</f>
        <v>0</v>
      </c>
      <c r="H2" s="75">
        <f>SUMIF(F8:F960,"SERVICES IA",G8:G960)</f>
        <v>0</v>
      </c>
      <c r="I2" s="6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6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1" t="s">
        <v>28</v>
      </c>
      <c r="B4" s="69">
        <f>SUM(B8:B962)</f>
        <v>0</v>
      </c>
      <c r="C4" s="70">
        <f>SUMIF(F8:F960,"MÉDIA MULTI-ANNONCEURS",B8:B960)</f>
        <v>0</v>
      </c>
      <c r="D4" s="71">
        <f>SUMIF(F8:F960,"PROMOTIONNEL",B8:B960)</f>
        <v>0</v>
      </c>
      <c r="E4" s="72">
        <f>SUMIF(F8:F960,"DIST. PUBLICITAIRE SOLO",B8:B960)</f>
        <v>0</v>
      </c>
      <c r="F4" s="73">
        <f>SUMIF(F8:F960,"AGENCE PUB",B8:B960)</f>
        <v>0</v>
      </c>
      <c r="G4" s="74">
        <f>SUMIF(F8:F960,"AGENCE WEB",B8:B960)</f>
        <v>0</v>
      </c>
      <c r="H4" s="75">
        <f>SUMIF(F8:F960,"SERVICES IA",B8:B960)</f>
        <v>0</v>
      </c>
      <c r="I4" s="6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6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68"/>
      <c r="C6" s="68"/>
      <c r="D6" s="68"/>
      <c r="E6" s="68"/>
      <c r="F6" s="68"/>
      <c r="G6" s="68"/>
      <c r="H6" s="4"/>
      <c r="I6" s="6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1" t="s">
        <v>29</v>
      </c>
      <c r="B7" s="76" t="s">
        <v>30</v>
      </c>
      <c r="C7" s="77" t="s">
        <v>31</v>
      </c>
      <c r="D7" s="77" t="s">
        <v>32</v>
      </c>
      <c r="E7" s="76" t="s">
        <v>33</v>
      </c>
      <c r="F7" s="78" t="s">
        <v>34</v>
      </c>
      <c r="G7" s="78" t="s">
        <v>35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9"/>
      <c r="B8" s="80"/>
      <c r="C8" s="81"/>
      <c r="D8" s="82"/>
      <c r="E8" s="83"/>
      <c r="F8" s="79"/>
      <c r="G8" s="68">
        <f t="shared" ref="G8:G166" si="1">B8*0.1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79"/>
      <c r="B9" s="80"/>
      <c r="C9" s="79"/>
      <c r="D9" s="89"/>
      <c r="E9" s="83"/>
      <c r="F9" s="83"/>
      <c r="G9" s="68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79"/>
      <c r="B10" s="80"/>
      <c r="C10" s="79"/>
      <c r="D10" s="89"/>
      <c r="E10" s="83"/>
      <c r="F10" s="79"/>
      <c r="G10" s="68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79"/>
      <c r="B11" s="80"/>
      <c r="C11" s="79"/>
      <c r="D11" s="89"/>
      <c r="E11" s="83"/>
      <c r="F11" s="79"/>
      <c r="G11" s="68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79"/>
      <c r="B12" s="80"/>
      <c r="C12" s="79"/>
      <c r="D12" s="89"/>
      <c r="E12" s="83"/>
      <c r="F12" s="79"/>
      <c r="G12" s="68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79"/>
      <c r="B13" s="80"/>
      <c r="C13" s="79"/>
      <c r="D13" s="89"/>
      <c r="E13" s="83"/>
      <c r="F13" s="79"/>
      <c r="G13" s="68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79"/>
      <c r="B14" s="80"/>
      <c r="C14" s="79"/>
      <c r="D14" s="89"/>
      <c r="E14" s="83"/>
      <c r="F14" s="79"/>
      <c r="G14" s="68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79"/>
      <c r="B15" s="80"/>
      <c r="C15" s="79"/>
      <c r="D15" s="89"/>
      <c r="E15" s="83"/>
      <c r="F15" s="79"/>
      <c r="G15" s="68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90"/>
      <c r="B16" s="80"/>
      <c r="C16" s="91"/>
      <c r="D16" s="92"/>
      <c r="E16" s="93"/>
      <c r="F16" s="11"/>
      <c r="G16" s="68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90"/>
      <c r="B17" s="80"/>
      <c r="C17" s="91"/>
      <c r="D17" s="92"/>
      <c r="E17" s="93"/>
      <c r="F17" s="11"/>
      <c r="G17" s="68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90"/>
      <c r="B18" s="80"/>
      <c r="C18" s="91"/>
      <c r="D18" s="92"/>
      <c r="E18" s="93"/>
      <c r="F18" s="11"/>
      <c r="G18" s="68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94"/>
      <c r="B19" s="95"/>
      <c r="C19" s="96"/>
      <c r="D19" s="97"/>
      <c r="E19" s="85"/>
      <c r="F19" s="4"/>
      <c r="G19" s="68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98"/>
      <c r="B20" s="95"/>
      <c r="C20" s="96"/>
      <c r="D20" s="97"/>
      <c r="E20" s="85"/>
      <c r="F20" s="4"/>
      <c r="G20" s="68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98"/>
      <c r="B21" s="95"/>
      <c r="C21" s="96"/>
      <c r="D21" s="97"/>
      <c r="E21" s="85"/>
      <c r="F21" s="4"/>
      <c r="G21" s="68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94"/>
      <c r="B22" s="95"/>
      <c r="C22" s="96"/>
      <c r="D22" s="97"/>
      <c r="E22" s="85"/>
      <c r="F22" s="4"/>
      <c r="G22" s="68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98"/>
      <c r="B23" s="95"/>
      <c r="C23" s="25"/>
      <c r="D23" s="84"/>
      <c r="E23" s="85"/>
      <c r="F23" s="4"/>
      <c r="G23" s="68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98"/>
      <c r="B24" s="95"/>
      <c r="C24" s="25"/>
      <c r="D24" s="84"/>
      <c r="E24" s="85"/>
      <c r="F24" s="4"/>
      <c r="G24" s="68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98"/>
      <c r="B25" s="95"/>
      <c r="C25" s="25"/>
      <c r="D25" s="84"/>
      <c r="E25" s="85"/>
      <c r="F25" s="4"/>
      <c r="G25" s="68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98"/>
      <c r="B26" s="25"/>
      <c r="C26" s="25"/>
      <c r="D26" s="84"/>
      <c r="E26" s="85"/>
      <c r="F26" s="4"/>
      <c r="G26" s="68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98"/>
      <c r="B27" s="25"/>
      <c r="C27" s="25"/>
      <c r="D27" s="84"/>
      <c r="E27" s="85"/>
      <c r="F27" s="4"/>
      <c r="G27" s="68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98"/>
      <c r="B28" s="25"/>
      <c r="C28" s="25"/>
      <c r="D28" s="84"/>
      <c r="E28" s="85"/>
      <c r="F28" s="4"/>
      <c r="G28" s="68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84"/>
      <c r="B29" s="25"/>
      <c r="C29" s="25"/>
      <c r="D29" s="25"/>
      <c r="E29" s="85"/>
      <c r="F29" s="4"/>
      <c r="G29" s="68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84"/>
      <c r="B30" s="25"/>
      <c r="C30" s="25"/>
      <c r="D30" s="25"/>
      <c r="E30" s="85"/>
      <c r="F30" s="4"/>
      <c r="G30" s="68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84"/>
      <c r="B31" s="25"/>
      <c r="C31" s="25"/>
      <c r="D31" s="25"/>
      <c r="E31" s="85"/>
      <c r="F31" s="4"/>
      <c r="G31" s="68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84"/>
      <c r="B32" s="25"/>
      <c r="C32" s="25"/>
      <c r="D32" s="25"/>
      <c r="E32" s="85"/>
      <c r="F32" s="4"/>
      <c r="G32" s="68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84"/>
      <c r="B33" s="25"/>
      <c r="C33" s="25"/>
      <c r="D33" s="25"/>
      <c r="E33" s="85"/>
      <c r="F33" s="4"/>
      <c r="G33" s="68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84"/>
      <c r="B34" s="25"/>
      <c r="C34" s="25"/>
      <c r="D34" s="25"/>
      <c r="E34" s="85"/>
      <c r="F34" s="4"/>
      <c r="G34" s="68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84"/>
      <c r="B35" s="25"/>
      <c r="C35" s="25"/>
      <c r="D35" s="25"/>
      <c r="E35" s="85"/>
      <c r="F35" s="4"/>
      <c r="G35" s="68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84"/>
      <c r="B36" s="25"/>
      <c r="C36" s="25"/>
      <c r="D36" s="25"/>
      <c r="E36" s="85"/>
      <c r="F36" s="4"/>
      <c r="G36" s="68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84"/>
      <c r="B37" s="25"/>
      <c r="C37" s="25"/>
      <c r="D37" s="25"/>
      <c r="E37" s="85"/>
      <c r="F37" s="4"/>
      <c r="G37" s="68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85"/>
      <c r="F38" s="4"/>
      <c r="G38" s="68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85"/>
      <c r="F39" s="4"/>
      <c r="G39" s="68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85"/>
      <c r="F40" s="4"/>
      <c r="G40" s="68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85"/>
      <c r="F41" s="4"/>
      <c r="G41" s="68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85"/>
      <c r="F42" s="4"/>
      <c r="G42" s="68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85"/>
      <c r="F43" s="4"/>
      <c r="G43" s="68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85"/>
      <c r="F44" s="4"/>
      <c r="G44" s="68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85"/>
      <c r="F45" s="4"/>
      <c r="G45" s="68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85"/>
      <c r="F46" s="4"/>
      <c r="G46" s="68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85"/>
      <c r="F47" s="4"/>
      <c r="G47" s="68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85"/>
      <c r="F48" s="4"/>
      <c r="G48" s="68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85"/>
      <c r="F49" s="4"/>
      <c r="G49" s="68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85"/>
      <c r="F50" s="4"/>
      <c r="G50" s="68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85"/>
      <c r="F51" s="4"/>
      <c r="G51" s="68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85"/>
      <c r="F52" s="4"/>
      <c r="G52" s="68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85"/>
      <c r="F53" s="4"/>
      <c r="G53" s="68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85"/>
      <c r="F54" s="4"/>
      <c r="G54" s="68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85"/>
      <c r="F55" s="4"/>
      <c r="G55" s="68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85"/>
      <c r="F56" s="4"/>
      <c r="G56" s="68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85"/>
      <c r="F57" s="4"/>
      <c r="G57" s="68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85"/>
      <c r="F58" s="4"/>
      <c r="G58" s="68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85"/>
      <c r="F59" s="4"/>
      <c r="G59" s="68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85"/>
      <c r="F60" s="4"/>
      <c r="G60" s="68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85"/>
      <c r="F61" s="4"/>
      <c r="G61" s="68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85"/>
      <c r="F62" s="4"/>
      <c r="G62" s="68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85"/>
      <c r="F63" s="4"/>
      <c r="G63" s="68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85"/>
      <c r="F64" s="4"/>
      <c r="G64" s="68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85"/>
      <c r="F65" s="4"/>
      <c r="G65" s="68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85"/>
      <c r="F66" s="4"/>
      <c r="G66" s="68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85"/>
      <c r="F67" s="4"/>
      <c r="G67" s="68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85"/>
      <c r="F68" s="4"/>
      <c r="G68" s="68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85"/>
      <c r="F69" s="4"/>
      <c r="G69" s="68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85"/>
      <c r="F70" s="4"/>
      <c r="G70" s="68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85"/>
      <c r="F71" s="4"/>
      <c r="G71" s="68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85"/>
      <c r="F72" s="4"/>
      <c r="G72" s="68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85"/>
      <c r="F73" s="4"/>
      <c r="G73" s="68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85"/>
      <c r="F74" s="4"/>
      <c r="G74" s="68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85"/>
      <c r="F75" s="4"/>
      <c r="G75" s="68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85"/>
      <c r="F76" s="4"/>
      <c r="G76" s="68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85"/>
      <c r="F77" s="4"/>
      <c r="G77" s="68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85"/>
      <c r="F78" s="4"/>
      <c r="G78" s="68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85"/>
      <c r="F79" s="4"/>
      <c r="G79" s="68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85"/>
      <c r="F80" s="4"/>
      <c r="G80" s="68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85"/>
      <c r="F81" s="4"/>
      <c r="G81" s="68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85"/>
      <c r="F82" s="4"/>
      <c r="G82" s="68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85"/>
      <c r="F83" s="4"/>
      <c r="G83" s="68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85"/>
      <c r="F84" s="4"/>
      <c r="G84" s="68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85"/>
      <c r="F85" s="4"/>
      <c r="G85" s="68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85"/>
      <c r="F86" s="4"/>
      <c r="G86" s="68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85"/>
      <c r="F87" s="4"/>
      <c r="G87" s="68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85"/>
      <c r="F88" s="4"/>
      <c r="G88" s="68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85"/>
      <c r="F89" s="4"/>
      <c r="G89" s="68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85"/>
      <c r="F90" s="4"/>
      <c r="G90" s="68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85"/>
      <c r="F91" s="4"/>
      <c r="G91" s="68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85"/>
      <c r="F92" s="4"/>
      <c r="G92" s="68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85"/>
      <c r="F93" s="4"/>
      <c r="G93" s="68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85"/>
      <c r="F94" s="4"/>
      <c r="G94" s="68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85"/>
      <c r="F95" s="4"/>
      <c r="G95" s="68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85"/>
      <c r="F96" s="4"/>
      <c r="G96" s="68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85"/>
      <c r="F97" s="4"/>
      <c r="G97" s="68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85"/>
      <c r="F98" s="4"/>
      <c r="G98" s="68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85"/>
      <c r="F99" s="4"/>
      <c r="G99" s="68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85"/>
      <c r="F100" s="4"/>
      <c r="G100" s="68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85"/>
      <c r="F101" s="4"/>
      <c r="G101" s="68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85"/>
      <c r="F102" s="4"/>
      <c r="G102" s="68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85"/>
      <c r="F103" s="4"/>
      <c r="G103" s="68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85"/>
      <c r="F104" s="4"/>
      <c r="G104" s="68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85"/>
      <c r="F105" s="4"/>
      <c r="G105" s="68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85"/>
      <c r="F106" s="4"/>
      <c r="G106" s="68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85"/>
      <c r="F107" s="4"/>
      <c r="G107" s="68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85"/>
      <c r="F108" s="4"/>
      <c r="G108" s="68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85"/>
      <c r="F109" s="4"/>
      <c r="G109" s="68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85"/>
      <c r="F110" s="4"/>
      <c r="G110" s="68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85"/>
      <c r="F111" s="4"/>
      <c r="G111" s="68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85"/>
      <c r="F112" s="4"/>
      <c r="G112" s="68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85"/>
      <c r="F113" s="4"/>
      <c r="G113" s="68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85"/>
      <c r="F114" s="4"/>
      <c r="G114" s="68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85"/>
      <c r="F115" s="4"/>
      <c r="G115" s="68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85"/>
      <c r="F116" s="4"/>
      <c r="G116" s="68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85"/>
      <c r="F117" s="4"/>
      <c r="G117" s="68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85"/>
      <c r="F118" s="4"/>
      <c r="G118" s="68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85"/>
      <c r="F119" s="4"/>
      <c r="G119" s="68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85"/>
      <c r="F120" s="4"/>
      <c r="G120" s="68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85"/>
      <c r="F121" s="4"/>
      <c r="G121" s="68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85"/>
      <c r="F122" s="4"/>
      <c r="G122" s="68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85"/>
      <c r="F123" s="4"/>
      <c r="G123" s="68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85"/>
      <c r="F124" s="4"/>
      <c r="G124" s="68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85"/>
      <c r="F125" s="4"/>
      <c r="G125" s="68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85"/>
      <c r="F126" s="4"/>
      <c r="G126" s="68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85"/>
      <c r="F127" s="4"/>
      <c r="G127" s="68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85"/>
      <c r="F128" s="4"/>
      <c r="G128" s="68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85"/>
      <c r="F129" s="4"/>
      <c r="G129" s="68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85"/>
      <c r="F130" s="4"/>
      <c r="G130" s="68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85"/>
      <c r="F131" s="4"/>
      <c r="G131" s="68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85"/>
      <c r="F132" s="4"/>
      <c r="G132" s="68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85"/>
      <c r="F133" s="4"/>
      <c r="G133" s="68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85"/>
      <c r="F134" s="4"/>
      <c r="G134" s="68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85"/>
      <c r="F135" s="4"/>
      <c r="G135" s="68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85"/>
      <c r="F136" s="4"/>
      <c r="G136" s="68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85"/>
      <c r="F137" s="4"/>
      <c r="G137" s="68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85"/>
      <c r="F138" s="4"/>
      <c r="G138" s="68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85"/>
      <c r="F139" s="4"/>
      <c r="G139" s="68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85"/>
      <c r="F140" s="4"/>
      <c r="G140" s="68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85"/>
      <c r="F141" s="4"/>
      <c r="G141" s="68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85"/>
      <c r="F142" s="4"/>
      <c r="G142" s="68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85"/>
      <c r="F143" s="4"/>
      <c r="G143" s="68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85"/>
      <c r="F144" s="4"/>
      <c r="G144" s="68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68"/>
      <c r="G145" s="68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68"/>
      <c r="G146" s="68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68"/>
      <c r="G147" s="68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68"/>
      <c r="G148" s="68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68"/>
      <c r="G149" s="68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68"/>
      <c r="G150" s="68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68"/>
      <c r="G151" s="68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68"/>
      <c r="G152" s="68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68"/>
      <c r="G153" s="68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68"/>
      <c r="G154" s="68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68"/>
      <c r="G155" s="68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68"/>
      <c r="G156" s="68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68"/>
      <c r="G157" s="68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68"/>
      <c r="G158" s="68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68"/>
      <c r="G159" s="68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68"/>
      <c r="G160" s="68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68"/>
      <c r="G161" s="68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68"/>
      <c r="G162" s="68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68"/>
      <c r="G163" s="68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68"/>
      <c r="G164" s="68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68"/>
      <c r="G165" s="68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68"/>
      <c r="G166" s="68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68"/>
      <c r="G167" s="68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68"/>
      <c r="G168" s="68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68"/>
      <c r="G169" s="68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68"/>
      <c r="G170" s="68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68"/>
      <c r="G171" s="68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68"/>
      <c r="G172" s="68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68"/>
      <c r="G173" s="68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68"/>
      <c r="G174" s="68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68"/>
      <c r="G175" s="68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68"/>
      <c r="G176" s="68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68"/>
      <c r="G177" s="68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68"/>
      <c r="G178" s="68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68"/>
      <c r="G179" s="68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68"/>
      <c r="G180" s="68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68"/>
      <c r="G181" s="68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68"/>
      <c r="G182" s="68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68"/>
      <c r="G183" s="68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68"/>
      <c r="G184" s="68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68"/>
      <c r="G185" s="68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68"/>
      <c r="G186" s="68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68"/>
      <c r="G187" s="68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68"/>
      <c r="G188" s="68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68"/>
      <c r="G189" s="68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68"/>
      <c r="G190" s="68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68"/>
      <c r="G191" s="68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68"/>
      <c r="G192" s="68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68"/>
      <c r="G193" s="68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68"/>
      <c r="G194" s="68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68"/>
      <c r="G195" s="68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68"/>
      <c r="G196" s="68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68"/>
      <c r="G197" s="68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68"/>
      <c r="G198" s="68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68"/>
      <c r="G199" s="68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68"/>
      <c r="G200" s="68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68"/>
      <c r="G201" s="68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68"/>
      <c r="G202" s="68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68"/>
      <c r="G203" s="68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68"/>
      <c r="G204" s="68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68"/>
      <c r="G205" s="68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68"/>
      <c r="G206" s="68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68"/>
      <c r="G207" s="68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68"/>
      <c r="G208" s="68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68"/>
      <c r="G209" s="68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68"/>
      <c r="G210" s="68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68"/>
      <c r="G211" s="68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68"/>
      <c r="G212" s="68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6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6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6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6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6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6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6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6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6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6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6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6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6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6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6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6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6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6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6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6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6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6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6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6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6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6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6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6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6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6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6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6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6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6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6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6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6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6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6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6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6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6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6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6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6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6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6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6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6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6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6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6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6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6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6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6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6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6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6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6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6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6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6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6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6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6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6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6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6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6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6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6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6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6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6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6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6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6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6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6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6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6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6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6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6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6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6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6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6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6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6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6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6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6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6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6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6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6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6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6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6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6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6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6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6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6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6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6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6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6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6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6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6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6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6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6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6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6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6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6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6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6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6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6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6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6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6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6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6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6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6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6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6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6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6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6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6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6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6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6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6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6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6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6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6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6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6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6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6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6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6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6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6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6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6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6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6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6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6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6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6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6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6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6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6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6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6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6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6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6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6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6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6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6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6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6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6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6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6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6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6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6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6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6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6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6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6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6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6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6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6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6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6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6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6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6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6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6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6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6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6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6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6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6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6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6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6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6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6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6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6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6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6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6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6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6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6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6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6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6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6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6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6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6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6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6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6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6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6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6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6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6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6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6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6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6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6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6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6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6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6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6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6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6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6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6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6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6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6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6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6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6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6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6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6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6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6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6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6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6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6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6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6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6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6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6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6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6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6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6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6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6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6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6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6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6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6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6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6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6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6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6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6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6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6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6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6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6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6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6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6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6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6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6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6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6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6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6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6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6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6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6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6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6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6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6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6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6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6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6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6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6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6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6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6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6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6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6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6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6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6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6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6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6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6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6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6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6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6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6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6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6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6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6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6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6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6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6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6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6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6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6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6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6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6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6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6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6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6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6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6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6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6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6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6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6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6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6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6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6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6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6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6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6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6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6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6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6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6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6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6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6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6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6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6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6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6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6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6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6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6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6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6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6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6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6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6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6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6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6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6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6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6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6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6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6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6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6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6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6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6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6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6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6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6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6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6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6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6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6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6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6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6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6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6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6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6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6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6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6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6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6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6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6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6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6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6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6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6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6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6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6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6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6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6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6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6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6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6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6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6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6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6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6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6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6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6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6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6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6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6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6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6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6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6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6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6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6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6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6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6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6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6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6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6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6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6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6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6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6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6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6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6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6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6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6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6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6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6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6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6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6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6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6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6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6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6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6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6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6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6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6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6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6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6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6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6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6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6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6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6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6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6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6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6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6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6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6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6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6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6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6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6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6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6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6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6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6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6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6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6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6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6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6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6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6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6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6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6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6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6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6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6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6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6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6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6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6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6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6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6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6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6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6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6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6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6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6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6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6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6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6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6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6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6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6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6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6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6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6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6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6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6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6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6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6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6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6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6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6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6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6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6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6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6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6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6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6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6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6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6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6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6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6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6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6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6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6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6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6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6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6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6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6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6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6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6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6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6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6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6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6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6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6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6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6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6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6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6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6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6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6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6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6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6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6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6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6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6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6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6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6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6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6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6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6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6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6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6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6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6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6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6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6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6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6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6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6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6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6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6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6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6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6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6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6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6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6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6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6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6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6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6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6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6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6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6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6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6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6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6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6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6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6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6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6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6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6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6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6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6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6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6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6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6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6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6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6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6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6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6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6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6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6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6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6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6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6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6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6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6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6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6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6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6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6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6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6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6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6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6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6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6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6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6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6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6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6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6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6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6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6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6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6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6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6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6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6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6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6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6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6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6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6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6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6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6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6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6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6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6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6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6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6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6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6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6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6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6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6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6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6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6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6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6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6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6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6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6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6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6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6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6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6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6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6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6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6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6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86"/>
      <c r="V971" s="86"/>
      <c r="W971" s="86"/>
      <c r="X971" s="86"/>
      <c r="Y971" s="86"/>
      <c r="Z971" s="86"/>
    </row>
    <row r="972">
      <c r="A972" s="4"/>
      <c r="B972" s="4"/>
      <c r="C972" s="4"/>
      <c r="D972" s="4"/>
      <c r="E972" s="4"/>
      <c r="F972" s="4"/>
      <c r="G972" s="4"/>
      <c r="H972" s="6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86"/>
      <c r="V972" s="86"/>
      <c r="W972" s="86"/>
      <c r="X972" s="86"/>
      <c r="Y972" s="86"/>
      <c r="Z972" s="86"/>
    </row>
    <row r="973">
      <c r="A973" s="4"/>
      <c r="B973" s="4"/>
      <c r="C973" s="4"/>
      <c r="D973" s="4"/>
      <c r="E973" s="4"/>
      <c r="F973" s="4"/>
      <c r="G973" s="4"/>
      <c r="H973" s="6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86"/>
      <c r="V973" s="86"/>
      <c r="W973" s="86"/>
      <c r="X973" s="86"/>
      <c r="Y973" s="86"/>
      <c r="Z973" s="86"/>
    </row>
    <row r="974">
      <c r="A974" s="4"/>
      <c r="B974" s="4"/>
      <c r="C974" s="4"/>
      <c r="D974" s="4"/>
      <c r="E974" s="4"/>
      <c r="F974" s="4"/>
      <c r="G974" s="4"/>
      <c r="H974" s="6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86"/>
      <c r="V974" s="86"/>
      <c r="W974" s="86"/>
      <c r="X974" s="86"/>
      <c r="Y974" s="86"/>
      <c r="Z974" s="86"/>
    </row>
    <row r="975">
      <c r="A975" s="4"/>
      <c r="B975" s="4"/>
      <c r="C975" s="4"/>
      <c r="D975" s="4"/>
      <c r="E975" s="4"/>
      <c r="F975" s="4"/>
      <c r="G975" s="4"/>
      <c r="H975" s="6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86"/>
      <c r="V975" s="86"/>
      <c r="W975" s="86"/>
      <c r="X975" s="86"/>
      <c r="Y975" s="86"/>
      <c r="Z975" s="86"/>
    </row>
    <row r="976">
      <c r="A976" s="4"/>
      <c r="B976" s="4"/>
      <c r="C976" s="4"/>
      <c r="D976" s="4"/>
      <c r="E976" s="4"/>
      <c r="F976" s="4"/>
      <c r="G976" s="4"/>
      <c r="H976" s="6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86"/>
      <c r="V976" s="86"/>
      <c r="W976" s="86"/>
      <c r="X976" s="86"/>
      <c r="Y976" s="86"/>
      <c r="Z976" s="86"/>
    </row>
    <row r="977">
      <c r="A977" s="4"/>
      <c r="B977" s="4"/>
      <c r="C977" s="4"/>
      <c r="D977" s="4"/>
      <c r="E977" s="4"/>
      <c r="F977" s="4"/>
      <c r="G977" s="4"/>
      <c r="H977" s="6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86"/>
      <c r="V977" s="86"/>
      <c r="W977" s="86"/>
      <c r="X977" s="86"/>
      <c r="Y977" s="86"/>
      <c r="Z977" s="86"/>
    </row>
    <row r="978">
      <c r="A978" s="4"/>
      <c r="B978" s="4"/>
      <c r="C978" s="4"/>
      <c r="D978" s="4"/>
      <c r="E978" s="4"/>
      <c r="F978" s="4"/>
      <c r="G978" s="4"/>
      <c r="H978" s="6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86"/>
      <c r="V978" s="86"/>
      <c r="W978" s="86"/>
      <c r="X978" s="86"/>
      <c r="Y978" s="86"/>
      <c r="Z978" s="86"/>
    </row>
    <row r="979">
      <c r="A979" s="4"/>
      <c r="B979" s="4"/>
      <c r="C979" s="4"/>
      <c r="D979" s="4"/>
      <c r="E979" s="4"/>
      <c r="F979" s="4"/>
      <c r="G979" s="4"/>
      <c r="H979" s="6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86"/>
      <c r="V979" s="86"/>
      <c r="W979" s="86"/>
      <c r="X979" s="86"/>
      <c r="Y979" s="86"/>
      <c r="Z979" s="86"/>
    </row>
    <row r="980">
      <c r="A980" s="4"/>
      <c r="B980" s="4"/>
      <c r="C980" s="4"/>
      <c r="D980" s="4"/>
      <c r="E980" s="4"/>
      <c r="F980" s="4"/>
      <c r="G980" s="4"/>
      <c r="H980" s="6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86"/>
      <c r="V980" s="86"/>
      <c r="W980" s="86"/>
      <c r="X980" s="86"/>
      <c r="Y980" s="86"/>
      <c r="Z980" s="86"/>
    </row>
    <row r="981">
      <c r="A981" s="4"/>
      <c r="B981" s="4"/>
      <c r="C981" s="4"/>
      <c r="D981" s="4"/>
      <c r="E981" s="4"/>
      <c r="F981" s="4"/>
      <c r="G981" s="4"/>
      <c r="H981" s="6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86"/>
      <c r="V981" s="86"/>
      <c r="W981" s="86"/>
      <c r="X981" s="86"/>
      <c r="Y981" s="86"/>
      <c r="Z981" s="86"/>
    </row>
    <row r="982">
      <c r="A982" s="4"/>
      <c r="B982" s="4"/>
      <c r="C982" s="4"/>
      <c r="D982" s="4"/>
      <c r="E982" s="4"/>
      <c r="F982" s="4"/>
      <c r="G982" s="4"/>
      <c r="H982" s="6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86"/>
      <c r="V982" s="86"/>
      <c r="W982" s="86"/>
      <c r="X982" s="86"/>
      <c r="Y982" s="86"/>
      <c r="Z982" s="86"/>
    </row>
    <row r="983">
      <c r="A983" s="4"/>
      <c r="B983" s="4"/>
      <c r="C983" s="4"/>
      <c r="D983" s="4"/>
      <c r="E983" s="4"/>
      <c r="F983" s="4"/>
      <c r="G983" s="4"/>
      <c r="H983" s="6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86"/>
      <c r="V983" s="86"/>
      <c r="W983" s="86"/>
      <c r="X983" s="86"/>
      <c r="Y983" s="86"/>
      <c r="Z983" s="86"/>
    </row>
    <row r="984">
      <c r="A984" s="4"/>
      <c r="B984" s="4"/>
      <c r="C984" s="4"/>
      <c r="D984" s="4"/>
      <c r="E984" s="4"/>
      <c r="F984" s="4"/>
      <c r="G984" s="4"/>
      <c r="H984" s="6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86"/>
      <c r="V984" s="86"/>
      <c r="W984" s="86"/>
      <c r="X984" s="86"/>
      <c r="Y984" s="86"/>
      <c r="Z984" s="86"/>
    </row>
    <row r="985">
      <c r="A985" s="4"/>
      <c r="B985" s="4"/>
      <c r="C985" s="4"/>
      <c r="D985" s="4"/>
      <c r="E985" s="4"/>
      <c r="F985" s="4"/>
      <c r="G985" s="4"/>
      <c r="H985" s="6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86"/>
      <c r="V985" s="86"/>
      <c r="W985" s="86"/>
      <c r="X985" s="86"/>
      <c r="Y985" s="86"/>
      <c r="Z985" s="86"/>
    </row>
    <row r="986">
      <c r="A986" s="4"/>
      <c r="B986" s="4"/>
      <c r="C986" s="4"/>
      <c r="D986" s="4"/>
      <c r="E986" s="4"/>
      <c r="F986" s="4"/>
      <c r="G986" s="4"/>
      <c r="H986" s="6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86"/>
      <c r="V986" s="86"/>
      <c r="W986" s="86"/>
      <c r="X986" s="86"/>
      <c r="Y986" s="86"/>
      <c r="Z986" s="86"/>
    </row>
    <row r="987">
      <c r="A987" s="4"/>
      <c r="B987" s="4"/>
      <c r="C987" s="4"/>
      <c r="D987" s="4"/>
      <c r="E987" s="4"/>
      <c r="F987" s="4"/>
      <c r="G987" s="4"/>
      <c r="H987" s="6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86"/>
      <c r="V987" s="86"/>
      <c r="W987" s="86"/>
      <c r="X987" s="86"/>
      <c r="Y987" s="86"/>
      <c r="Z987" s="86"/>
    </row>
    <row r="988">
      <c r="A988" s="4"/>
      <c r="B988" s="4"/>
      <c r="C988" s="4"/>
      <c r="D988" s="4"/>
      <c r="E988" s="4"/>
      <c r="F988" s="4"/>
      <c r="G988" s="4"/>
      <c r="H988" s="6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86"/>
      <c r="V988" s="86"/>
      <c r="W988" s="86"/>
      <c r="X988" s="86"/>
      <c r="Y988" s="86"/>
      <c r="Z988" s="86"/>
    </row>
    <row r="989">
      <c r="A989" s="4"/>
      <c r="B989" s="4"/>
      <c r="C989" s="4"/>
      <c r="D989" s="4"/>
      <c r="E989" s="4"/>
      <c r="F989" s="4"/>
      <c r="G989" s="4"/>
      <c r="H989" s="6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86"/>
      <c r="V989" s="86"/>
      <c r="W989" s="86"/>
      <c r="X989" s="86"/>
      <c r="Y989" s="86"/>
      <c r="Z989" s="86"/>
    </row>
    <row r="990">
      <c r="A990" s="4"/>
      <c r="B990" s="4"/>
      <c r="C990" s="4"/>
      <c r="D990" s="4"/>
      <c r="E990" s="4"/>
      <c r="F990" s="4"/>
      <c r="G990" s="4"/>
      <c r="H990" s="6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86"/>
      <c r="V990" s="86"/>
      <c r="W990" s="86"/>
      <c r="X990" s="86"/>
      <c r="Y990" s="86"/>
      <c r="Z990" s="86"/>
    </row>
    <row r="991">
      <c r="A991" s="4"/>
      <c r="B991" s="4"/>
      <c r="C991" s="4"/>
      <c r="D991" s="4"/>
      <c r="E991" s="4"/>
      <c r="F991" s="4"/>
      <c r="G991" s="4"/>
      <c r="H991" s="6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86"/>
      <c r="V991" s="86"/>
      <c r="W991" s="86"/>
      <c r="X991" s="86"/>
      <c r="Y991" s="86"/>
      <c r="Z991" s="86"/>
    </row>
    <row r="992">
      <c r="A992" s="4"/>
      <c r="B992" s="4"/>
      <c r="C992" s="4"/>
      <c r="D992" s="4"/>
      <c r="E992" s="4"/>
      <c r="F992" s="4"/>
      <c r="G992" s="4"/>
      <c r="H992" s="6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86"/>
      <c r="V992" s="86"/>
      <c r="W992" s="86"/>
      <c r="X992" s="86"/>
      <c r="Y992" s="86"/>
      <c r="Z992" s="86"/>
    </row>
    <row r="993">
      <c r="A993" s="4"/>
      <c r="B993" s="4"/>
      <c r="C993" s="4"/>
      <c r="D993" s="4"/>
      <c r="E993" s="4"/>
      <c r="F993" s="4"/>
      <c r="G993" s="4"/>
      <c r="H993" s="68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86"/>
      <c r="V993" s="86"/>
      <c r="W993" s="86"/>
      <c r="X993" s="86"/>
      <c r="Y993" s="86"/>
      <c r="Z993" s="86"/>
    </row>
    <row r="994">
      <c r="A994" s="4"/>
      <c r="B994" s="4"/>
      <c r="C994" s="4"/>
      <c r="D994" s="4"/>
      <c r="E994" s="4"/>
      <c r="F994" s="4"/>
      <c r="G994" s="4"/>
      <c r="H994" s="68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86"/>
      <c r="V994" s="86"/>
      <c r="W994" s="86"/>
      <c r="X994" s="86"/>
      <c r="Y994" s="86"/>
      <c r="Z994" s="86"/>
    </row>
    <row r="995">
      <c r="A995" s="4"/>
      <c r="B995" s="4"/>
      <c r="C995" s="4"/>
      <c r="D995" s="4"/>
      <c r="E995" s="4"/>
      <c r="F995" s="4"/>
      <c r="G995" s="4"/>
      <c r="H995" s="87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86"/>
      <c r="V995" s="86"/>
      <c r="W995" s="86"/>
      <c r="X995" s="86"/>
      <c r="Y995" s="86"/>
      <c r="Z995" s="86"/>
    </row>
    <row r="996">
      <c r="A996" s="4"/>
      <c r="B996" s="4"/>
      <c r="C996" s="4"/>
      <c r="D996" s="4"/>
      <c r="E996" s="4"/>
      <c r="F996" s="4"/>
      <c r="G996" s="4"/>
      <c r="H996" s="87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86"/>
      <c r="V996" s="86"/>
      <c r="W996" s="86"/>
      <c r="X996" s="86"/>
      <c r="Y996" s="86"/>
      <c r="Z996" s="86"/>
    </row>
    <row r="997">
      <c r="A997" s="4"/>
      <c r="B997" s="4"/>
      <c r="C997" s="4"/>
      <c r="D997" s="4"/>
      <c r="E997" s="4"/>
      <c r="F997" s="4"/>
      <c r="G997" s="4"/>
      <c r="H997" s="87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86"/>
      <c r="V997" s="86"/>
      <c r="W997" s="86"/>
      <c r="X997" s="86"/>
      <c r="Y997" s="86"/>
      <c r="Z997" s="86"/>
    </row>
    <row r="998">
      <c r="A998" s="4"/>
      <c r="B998" s="4"/>
      <c r="C998" s="4"/>
      <c r="D998" s="4"/>
      <c r="E998" s="4"/>
      <c r="F998" s="4"/>
      <c r="G998" s="4"/>
      <c r="H998" s="87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86"/>
      <c r="V998" s="86"/>
      <c r="W998" s="86"/>
      <c r="X998" s="86"/>
      <c r="Y998" s="86"/>
      <c r="Z998" s="86"/>
    </row>
    <row r="999">
      <c r="A999" s="4"/>
      <c r="B999" s="4"/>
      <c r="C999" s="4"/>
      <c r="D999" s="4"/>
      <c r="E999" s="4"/>
      <c r="F999" s="4"/>
      <c r="G999" s="4"/>
      <c r="H999" s="87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86"/>
      <c r="V999" s="86"/>
      <c r="W999" s="86"/>
      <c r="X999" s="86"/>
      <c r="Y999" s="86"/>
      <c r="Z999" s="86"/>
    </row>
    <row r="1000">
      <c r="A1000" s="4"/>
      <c r="B1000" s="4"/>
      <c r="C1000" s="4"/>
      <c r="D1000" s="4"/>
      <c r="E1000" s="4"/>
      <c r="F1000" s="4"/>
      <c r="G1000" s="4"/>
      <c r="H1000" s="87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86"/>
      <c r="V1000" s="86"/>
      <c r="W1000" s="86"/>
      <c r="X1000" s="86"/>
      <c r="Y1000" s="86"/>
      <c r="Z1000" s="86"/>
    </row>
    <row r="1001">
      <c r="A1001" s="4"/>
      <c r="B1001" s="4"/>
      <c r="C1001" s="4"/>
      <c r="D1001" s="4"/>
      <c r="E1001" s="4"/>
      <c r="F1001" s="4"/>
      <c r="G1001" s="4"/>
      <c r="H1001" s="87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86"/>
      <c r="V1001" s="86"/>
      <c r="W1001" s="86"/>
      <c r="X1001" s="86"/>
      <c r="Y1001" s="86"/>
      <c r="Z1001" s="86"/>
    </row>
    <row r="1002">
      <c r="A1002" s="4"/>
      <c r="B1002" s="4"/>
      <c r="C1002" s="4"/>
      <c r="D1002" s="4"/>
      <c r="E1002" s="4"/>
      <c r="F1002" s="4"/>
      <c r="G1002" s="4"/>
      <c r="H1002" s="87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86"/>
      <c r="V1002" s="86"/>
      <c r="W1002" s="86"/>
      <c r="X1002" s="86"/>
      <c r="Y1002" s="86"/>
      <c r="Z1002" s="86"/>
    </row>
    <row r="1003">
      <c r="A1003" s="4"/>
      <c r="B1003" s="4"/>
      <c r="C1003" s="4"/>
      <c r="D1003" s="4"/>
      <c r="E1003" s="4"/>
      <c r="F1003" s="4"/>
      <c r="G1003" s="4"/>
      <c r="H1003" s="87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86"/>
      <c r="V1003" s="86"/>
      <c r="W1003" s="86"/>
      <c r="X1003" s="86"/>
      <c r="Y1003" s="86"/>
      <c r="Z1003" s="86"/>
    </row>
    <row r="1004">
      <c r="A1004" s="4"/>
      <c r="B1004" s="4"/>
      <c r="C1004" s="4"/>
      <c r="D1004" s="4"/>
      <c r="E1004" s="4"/>
      <c r="F1004" s="4"/>
      <c r="G1004" s="4"/>
      <c r="H1004" s="87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86"/>
      <c r="V1004" s="86"/>
      <c r="W1004" s="86"/>
      <c r="X1004" s="86"/>
      <c r="Y1004" s="86"/>
      <c r="Z1004" s="86"/>
    </row>
    <row r="1005">
      <c r="A1005" s="4"/>
      <c r="B1005" s="4"/>
      <c r="C1005" s="4"/>
      <c r="D1005" s="4"/>
      <c r="E1005" s="4"/>
      <c r="F1005" s="4"/>
      <c r="G1005" s="4"/>
      <c r="H1005" s="87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86"/>
      <c r="V1005" s="86"/>
      <c r="W1005" s="86"/>
      <c r="X1005" s="86"/>
      <c r="Y1005" s="86"/>
      <c r="Z1005" s="86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61" t="s">
        <v>25</v>
      </c>
      <c r="C1" s="62" t="s">
        <v>26</v>
      </c>
      <c r="D1" s="63" t="s">
        <v>20</v>
      </c>
      <c r="E1" s="64" t="s">
        <v>21</v>
      </c>
      <c r="F1" s="65" t="s">
        <v>22</v>
      </c>
      <c r="G1" s="66" t="s">
        <v>23</v>
      </c>
      <c r="H1" s="67" t="s">
        <v>24</v>
      </c>
      <c r="I1" s="68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1" t="s">
        <v>27</v>
      </c>
      <c r="B2" s="69">
        <f>SUM(G7:G962)</f>
        <v>0</v>
      </c>
      <c r="C2" s="70">
        <f>SUMIF(F8:F960,"MÉDIA MULTI-ANNONCEURS",G8:G960)</f>
        <v>0</v>
      </c>
      <c r="D2" s="71">
        <f>SUMIF(F8:F960,"PROMOTIONNEL",G8:G960)</f>
        <v>0</v>
      </c>
      <c r="E2" s="72">
        <f>SUMIF(F8:F960,"DIST. PUBLICITAIRE SOLO",G8:G960)</f>
        <v>0</v>
      </c>
      <c r="F2" s="73">
        <f>SUMIF(F8:F960,"AGENCE PUB",G8:G960)</f>
        <v>0</v>
      </c>
      <c r="G2" s="74">
        <f>SUMIF(F8:F960,"AGENCE WEB",G8:G960)</f>
        <v>0</v>
      </c>
      <c r="H2" s="75">
        <f>SUMIF(F8:F960,"SERVICES IA",G8:G960)</f>
        <v>0</v>
      </c>
      <c r="I2" s="6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6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1" t="s">
        <v>28</v>
      </c>
      <c r="B4" s="69">
        <f>SUM(B8:B962)</f>
        <v>0</v>
      </c>
      <c r="C4" s="70">
        <f>SUMIF(F8:F960,"MÉDIA MULTI-ANNONCEURS",B8:B960)</f>
        <v>0</v>
      </c>
      <c r="D4" s="71">
        <f>SUMIF(F8:F960,"PROMOTIONNEL",B8:B960)</f>
        <v>0</v>
      </c>
      <c r="E4" s="72">
        <f>SUMIF(F8:F960,"DIST. PUBLICITAIRE SOLO",B8:B960)</f>
        <v>0</v>
      </c>
      <c r="F4" s="73">
        <f>SUMIF(F8:F960,"AGENCE PUB",B8:B960)</f>
        <v>0</v>
      </c>
      <c r="G4" s="74">
        <f>SUMIF(F8:F960,"AGENCE WEB",B8:B960)</f>
        <v>0</v>
      </c>
      <c r="H4" s="75">
        <f>SUMIF(F8:F960,"SERVICES IA",B8:B960)</f>
        <v>0</v>
      </c>
      <c r="I4" s="6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6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68"/>
      <c r="C6" s="68"/>
      <c r="D6" s="68"/>
      <c r="E6" s="68"/>
      <c r="F6" s="68"/>
      <c r="G6" s="68"/>
      <c r="H6" s="4"/>
      <c r="I6" s="6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1" t="s">
        <v>29</v>
      </c>
      <c r="B7" s="76" t="s">
        <v>30</v>
      </c>
      <c r="C7" s="77" t="s">
        <v>31</v>
      </c>
      <c r="D7" s="77" t="s">
        <v>32</v>
      </c>
      <c r="E7" s="76" t="s">
        <v>33</v>
      </c>
      <c r="F7" s="78" t="s">
        <v>34</v>
      </c>
      <c r="G7" s="78" t="s">
        <v>35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9"/>
      <c r="B8" s="80"/>
      <c r="C8" s="81"/>
      <c r="D8" s="82"/>
      <c r="E8" s="83"/>
      <c r="F8" s="79"/>
      <c r="G8" s="68">
        <f t="shared" ref="G8:G166" si="1">B8*0.1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79"/>
      <c r="B9" s="80"/>
      <c r="C9" s="79"/>
      <c r="D9" s="89"/>
      <c r="E9" s="83"/>
      <c r="F9" s="83"/>
      <c r="G9" s="68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79"/>
      <c r="B10" s="80"/>
      <c r="C10" s="79"/>
      <c r="D10" s="89"/>
      <c r="E10" s="83"/>
      <c r="F10" s="79"/>
      <c r="G10" s="68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79"/>
      <c r="B11" s="80"/>
      <c r="C11" s="79"/>
      <c r="D11" s="89"/>
      <c r="E11" s="83"/>
      <c r="F11" s="79"/>
      <c r="G11" s="68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79"/>
      <c r="B12" s="80"/>
      <c r="C12" s="79"/>
      <c r="D12" s="89"/>
      <c r="E12" s="83"/>
      <c r="F12" s="79"/>
      <c r="G12" s="68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79"/>
      <c r="B13" s="80"/>
      <c r="C13" s="79"/>
      <c r="D13" s="89"/>
      <c r="E13" s="83"/>
      <c r="F13" s="79"/>
      <c r="G13" s="68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79"/>
      <c r="B14" s="80"/>
      <c r="C14" s="79"/>
      <c r="D14" s="89"/>
      <c r="E14" s="83"/>
      <c r="F14" s="79"/>
      <c r="G14" s="68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79"/>
      <c r="B15" s="80"/>
      <c r="C15" s="79"/>
      <c r="D15" s="89"/>
      <c r="E15" s="83"/>
      <c r="F15" s="79"/>
      <c r="G15" s="68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90"/>
      <c r="B16" s="80"/>
      <c r="C16" s="91"/>
      <c r="D16" s="92"/>
      <c r="E16" s="93"/>
      <c r="F16" s="11"/>
      <c r="G16" s="68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90"/>
      <c r="B17" s="80"/>
      <c r="C17" s="91"/>
      <c r="D17" s="92"/>
      <c r="E17" s="93"/>
      <c r="F17" s="11"/>
      <c r="G17" s="68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90"/>
      <c r="B18" s="80"/>
      <c r="C18" s="91"/>
      <c r="D18" s="92"/>
      <c r="E18" s="93"/>
      <c r="F18" s="11"/>
      <c r="G18" s="68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94"/>
      <c r="B19" s="95"/>
      <c r="C19" s="96"/>
      <c r="D19" s="97"/>
      <c r="E19" s="85"/>
      <c r="F19" s="4"/>
      <c r="G19" s="68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98"/>
      <c r="B20" s="95"/>
      <c r="C20" s="96"/>
      <c r="D20" s="97"/>
      <c r="E20" s="85"/>
      <c r="F20" s="4"/>
      <c r="G20" s="68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98"/>
      <c r="B21" s="95"/>
      <c r="C21" s="96"/>
      <c r="D21" s="97"/>
      <c r="E21" s="85"/>
      <c r="F21" s="4"/>
      <c r="G21" s="68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94"/>
      <c r="B22" s="95"/>
      <c r="C22" s="96"/>
      <c r="D22" s="97"/>
      <c r="E22" s="85"/>
      <c r="F22" s="4"/>
      <c r="G22" s="68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98"/>
      <c r="B23" s="95"/>
      <c r="C23" s="25"/>
      <c r="D23" s="84"/>
      <c r="E23" s="85"/>
      <c r="F23" s="4"/>
      <c r="G23" s="68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98"/>
      <c r="B24" s="95"/>
      <c r="C24" s="25"/>
      <c r="D24" s="84"/>
      <c r="E24" s="85"/>
      <c r="F24" s="4"/>
      <c r="G24" s="68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98"/>
      <c r="B25" s="95"/>
      <c r="C25" s="25"/>
      <c r="D25" s="84"/>
      <c r="E25" s="85"/>
      <c r="F25" s="4"/>
      <c r="G25" s="68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98"/>
      <c r="B26" s="25"/>
      <c r="C26" s="25"/>
      <c r="D26" s="84"/>
      <c r="E26" s="85"/>
      <c r="F26" s="4"/>
      <c r="G26" s="68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98"/>
      <c r="B27" s="25"/>
      <c r="C27" s="25"/>
      <c r="D27" s="84"/>
      <c r="E27" s="85"/>
      <c r="F27" s="4"/>
      <c r="G27" s="68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98"/>
      <c r="B28" s="25"/>
      <c r="C28" s="25"/>
      <c r="D28" s="84"/>
      <c r="E28" s="85"/>
      <c r="F28" s="4"/>
      <c r="G28" s="68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84"/>
      <c r="B29" s="25"/>
      <c r="C29" s="25"/>
      <c r="D29" s="25"/>
      <c r="E29" s="85"/>
      <c r="F29" s="4"/>
      <c r="G29" s="68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84"/>
      <c r="B30" s="25"/>
      <c r="C30" s="25"/>
      <c r="D30" s="25"/>
      <c r="E30" s="85"/>
      <c r="F30" s="4"/>
      <c r="G30" s="68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84"/>
      <c r="B31" s="25"/>
      <c r="C31" s="25"/>
      <c r="D31" s="25"/>
      <c r="E31" s="85"/>
      <c r="F31" s="4"/>
      <c r="G31" s="68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84"/>
      <c r="B32" s="25"/>
      <c r="C32" s="25"/>
      <c r="D32" s="25"/>
      <c r="E32" s="85"/>
      <c r="F32" s="4"/>
      <c r="G32" s="68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84"/>
      <c r="B33" s="25"/>
      <c r="C33" s="25"/>
      <c r="D33" s="25"/>
      <c r="E33" s="85"/>
      <c r="F33" s="4"/>
      <c r="G33" s="68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84"/>
      <c r="B34" s="25"/>
      <c r="C34" s="25"/>
      <c r="D34" s="25"/>
      <c r="E34" s="85"/>
      <c r="F34" s="4"/>
      <c r="G34" s="68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84"/>
      <c r="B35" s="25"/>
      <c r="C35" s="25"/>
      <c r="D35" s="25"/>
      <c r="E35" s="85"/>
      <c r="F35" s="4"/>
      <c r="G35" s="68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84"/>
      <c r="B36" s="25"/>
      <c r="C36" s="25"/>
      <c r="D36" s="25"/>
      <c r="E36" s="85"/>
      <c r="F36" s="4"/>
      <c r="G36" s="68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84"/>
      <c r="B37" s="25"/>
      <c r="C37" s="25"/>
      <c r="D37" s="25"/>
      <c r="E37" s="85"/>
      <c r="F37" s="4"/>
      <c r="G37" s="68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85"/>
      <c r="F38" s="4"/>
      <c r="G38" s="68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85"/>
      <c r="F39" s="4"/>
      <c r="G39" s="68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85"/>
      <c r="F40" s="4"/>
      <c r="G40" s="68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85"/>
      <c r="F41" s="4"/>
      <c r="G41" s="68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85"/>
      <c r="F42" s="4"/>
      <c r="G42" s="68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85"/>
      <c r="F43" s="4"/>
      <c r="G43" s="68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85"/>
      <c r="F44" s="4"/>
      <c r="G44" s="68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85"/>
      <c r="F45" s="4"/>
      <c r="G45" s="68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85"/>
      <c r="F46" s="4"/>
      <c r="G46" s="68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85"/>
      <c r="F47" s="4"/>
      <c r="G47" s="68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85"/>
      <c r="F48" s="4"/>
      <c r="G48" s="68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85"/>
      <c r="F49" s="4"/>
      <c r="G49" s="68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85"/>
      <c r="F50" s="4"/>
      <c r="G50" s="68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85"/>
      <c r="F51" s="4"/>
      <c r="G51" s="68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85"/>
      <c r="F52" s="4"/>
      <c r="G52" s="68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85"/>
      <c r="F53" s="4"/>
      <c r="G53" s="68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85"/>
      <c r="F54" s="4"/>
      <c r="G54" s="68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85"/>
      <c r="F55" s="4"/>
      <c r="G55" s="68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85"/>
      <c r="F56" s="4"/>
      <c r="G56" s="68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85"/>
      <c r="F57" s="4"/>
      <c r="G57" s="68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85"/>
      <c r="F58" s="4"/>
      <c r="G58" s="68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85"/>
      <c r="F59" s="4"/>
      <c r="G59" s="68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85"/>
      <c r="F60" s="4"/>
      <c r="G60" s="68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85"/>
      <c r="F61" s="4"/>
      <c r="G61" s="68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85"/>
      <c r="F62" s="4"/>
      <c r="G62" s="68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85"/>
      <c r="F63" s="4"/>
      <c r="G63" s="68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85"/>
      <c r="F64" s="4"/>
      <c r="G64" s="68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85"/>
      <c r="F65" s="4"/>
      <c r="G65" s="68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85"/>
      <c r="F66" s="4"/>
      <c r="G66" s="68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85"/>
      <c r="F67" s="4"/>
      <c r="G67" s="68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85"/>
      <c r="F68" s="4"/>
      <c r="G68" s="68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85"/>
      <c r="F69" s="4"/>
      <c r="G69" s="68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85"/>
      <c r="F70" s="4"/>
      <c r="G70" s="68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85"/>
      <c r="F71" s="4"/>
      <c r="G71" s="68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85"/>
      <c r="F72" s="4"/>
      <c r="G72" s="68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85"/>
      <c r="F73" s="4"/>
      <c r="G73" s="68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85"/>
      <c r="F74" s="4"/>
      <c r="G74" s="68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85"/>
      <c r="F75" s="4"/>
      <c r="G75" s="68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85"/>
      <c r="F76" s="4"/>
      <c r="G76" s="68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85"/>
      <c r="F77" s="4"/>
      <c r="G77" s="68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85"/>
      <c r="F78" s="4"/>
      <c r="G78" s="68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85"/>
      <c r="F79" s="4"/>
      <c r="G79" s="68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85"/>
      <c r="F80" s="4"/>
      <c r="G80" s="68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85"/>
      <c r="F81" s="4"/>
      <c r="G81" s="68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85"/>
      <c r="F82" s="4"/>
      <c r="G82" s="68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85"/>
      <c r="F83" s="4"/>
      <c r="G83" s="68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85"/>
      <c r="F84" s="4"/>
      <c r="G84" s="68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85"/>
      <c r="F85" s="4"/>
      <c r="G85" s="68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85"/>
      <c r="F86" s="4"/>
      <c r="G86" s="68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85"/>
      <c r="F87" s="4"/>
      <c r="G87" s="68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85"/>
      <c r="F88" s="4"/>
      <c r="G88" s="68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85"/>
      <c r="F89" s="4"/>
      <c r="G89" s="68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85"/>
      <c r="F90" s="4"/>
      <c r="G90" s="68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85"/>
      <c r="F91" s="4"/>
      <c r="G91" s="68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85"/>
      <c r="F92" s="4"/>
      <c r="G92" s="68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85"/>
      <c r="F93" s="4"/>
      <c r="G93" s="68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85"/>
      <c r="F94" s="4"/>
      <c r="G94" s="68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85"/>
      <c r="F95" s="4"/>
      <c r="G95" s="68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85"/>
      <c r="F96" s="4"/>
      <c r="G96" s="68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85"/>
      <c r="F97" s="4"/>
      <c r="G97" s="68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85"/>
      <c r="F98" s="4"/>
      <c r="G98" s="68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85"/>
      <c r="F99" s="4"/>
      <c r="G99" s="68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85"/>
      <c r="F100" s="4"/>
      <c r="G100" s="68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85"/>
      <c r="F101" s="4"/>
      <c r="G101" s="68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85"/>
      <c r="F102" s="4"/>
      <c r="G102" s="68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85"/>
      <c r="F103" s="4"/>
      <c r="G103" s="68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85"/>
      <c r="F104" s="4"/>
      <c r="G104" s="68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85"/>
      <c r="F105" s="4"/>
      <c r="G105" s="68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85"/>
      <c r="F106" s="4"/>
      <c r="G106" s="68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85"/>
      <c r="F107" s="4"/>
      <c r="G107" s="68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85"/>
      <c r="F108" s="4"/>
      <c r="G108" s="68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85"/>
      <c r="F109" s="4"/>
      <c r="G109" s="68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85"/>
      <c r="F110" s="4"/>
      <c r="G110" s="68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85"/>
      <c r="F111" s="4"/>
      <c r="G111" s="68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85"/>
      <c r="F112" s="4"/>
      <c r="G112" s="68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85"/>
      <c r="F113" s="4"/>
      <c r="G113" s="68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85"/>
      <c r="F114" s="4"/>
      <c r="G114" s="68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85"/>
      <c r="F115" s="4"/>
      <c r="G115" s="68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85"/>
      <c r="F116" s="4"/>
      <c r="G116" s="68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85"/>
      <c r="F117" s="4"/>
      <c r="G117" s="68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85"/>
      <c r="F118" s="4"/>
      <c r="G118" s="68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85"/>
      <c r="F119" s="4"/>
      <c r="G119" s="68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85"/>
      <c r="F120" s="4"/>
      <c r="G120" s="68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85"/>
      <c r="F121" s="4"/>
      <c r="G121" s="68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85"/>
      <c r="F122" s="4"/>
      <c r="G122" s="68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85"/>
      <c r="F123" s="4"/>
      <c r="G123" s="68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85"/>
      <c r="F124" s="4"/>
      <c r="G124" s="68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85"/>
      <c r="F125" s="4"/>
      <c r="G125" s="68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85"/>
      <c r="F126" s="4"/>
      <c r="G126" s="68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85"/>
      <c r="F127" s="4"/>
      <c r="G127" s="68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85"/>
      <c r="F128" s="4"/>
      <c r="G128" s="68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85"/>
      <c r="F129" s="4"/>
      <c r="G129" s="68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85"/>
      <c r="F130" s="4"/>
      <c r="G130" s="68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85"/>
      <c r="F131" s="4"/>
      <c r="G131" s="68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85"/>
      <c r="F132" s="4"/>
      <c r="G132" s="68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85"/>
      <c r="F133" s="4"/>
      <c r="G133" s="68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85"/>
      <c r="F134" s="4"/>
      <c r="G134" s="68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85"/>
      <c r="F135" s="4"/>
      <c r="G135" s="68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85"/>
      <c r="F136" s="4"/>
      <c r="G136" s="68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85"/>
      <c r="F137" s="4"/>
      <c r="G137" s="68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85"/>
      <c r="F138" s="4"/>
      <c r="G138" s="68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85"/>
      <c r="F139" s="4"/>
      <c r="G139" s="68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85"/>
      <c r="F140" s="4"/>
      <c r="G140" s="68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85"/>
      <c r="F141" s="4"/>
      <c r="G141" s="68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85"/>
      <c r="F142" s="4"/>
      <c r="G142" s="68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85"/>
      <c r="F143" s="4"/>
      <c r="G143" s="68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85"/>
      <c r="F144" s="4"/>
      <c r="G144" s="68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68"/>
      <c r="G145" s="68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68"/>
      <c r="G146" s="68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68"/>
      <c r="G147" s="68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68"/>
      <c r="G148" s="68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68"/>
      <c r="G149" s="68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68"/>
      <c r="G150" s="68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68"/>
      <c r="G151" s="68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68"/>
      <c r="G152" s="68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68"/>
      <c r="G153" s="68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68"/>
      <c r="G154" s="68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68"/>
      <c r="G155" s="68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68"/>
      <c r="G156" s="68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68"/>
      <c r="G157" s="68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68"/>
      <c r="G158" s="68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68"/>
      <c r="G159" s="68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68"/>
      <c r="G160" s="68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68"/>
      <c r="G161" s="68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68"/>
      <c r="G162" s="68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68"/>
      <c r="G163" s="68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68"/>
      <c r="G164" s="68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68"/>
      <c r="G165" s="68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68"/>
      <c r="G166" s="68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68"/>
      <c r="G167" s="68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68"/>
      <c r="G168" s="68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68"/>
      <c r="G169" s="68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68"/>
      <c r="G170" s="68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68"/>
      <c r="G171" s="68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68"/>
      <c r="G172" s="68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68"/>
      <c r="G173" s="68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68"/>
      <c r="G174" s="68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68"/>
      <c r="G175" s="68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68"/>
      <c r="G176" s="68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68"/>
      <c r="G177" s="68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68"/>
      <c r="G178" s="68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68"/>
      <c r="G179" s="68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68"/>
      <c r="G180" s="68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68"/>
      <c r="G181" s="68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68"/>
      <c r="G182" s="68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68"/>
      <c r="G183" s="68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68"/>
      <c r="G184" s="68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68"/>
      <c r="G185" s="68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68"/>
      <c r="G186" s="68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68"/>
      <c r="G187" s="68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68"/>
      <c r="G188" s="68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68"/>
      <c r="G189" s="68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68"/>
      <c r="G190" s="68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68"/>
      <c r="G191" s="68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68"/>
      <c r="G192" s="68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68"/>
      <c r="G193" s="68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68"/>
      <c r="G194" s="68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68"/>
      <c r="G195" s="68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68"/>
      <c r="G196" s="68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68"/>
      <c r="G197" s="68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68"/>
      <c r="G198" s="68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68"/>
      <c r="G199" s="68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68"/>
      <c r="G200" s="68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68"/>
      <c r="G201" s="68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68"/>
      <c r="G202" s="68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68"/>
      <c r="G203" s="68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68"/>
      <c r="G204" s="68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68"/>
      <c r="G205" s="68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68"/>
      <c r="G206" s="68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68"/>
      <c r="G207" s="68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68"/>
      <c r="G208" s="68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68"/>
      <c r="G209" s="68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68"/>
      <c r="G210" s="68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68"/>
      <c r="G211" s="68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68"/>
      <c r="G212" s="68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6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6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6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6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6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6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6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6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6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6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6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6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6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6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6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6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6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6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6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6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6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6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6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6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6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6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6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6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6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6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6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6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6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6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6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6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6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6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6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6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6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6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6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6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6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6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6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6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6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6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6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6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6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6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6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6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6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6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6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6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6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6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6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6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6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6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6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6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6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6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6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6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6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6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6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6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6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6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6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6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6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6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6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6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6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6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6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6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6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6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6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6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6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6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6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6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6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6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6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6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6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6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6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6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6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6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6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6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6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6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6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6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6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6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6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6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6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6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6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6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6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6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6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6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6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6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6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6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6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6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6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6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6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6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6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6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6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6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6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6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6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6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6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6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6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6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6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6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6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6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6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6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6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6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6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6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6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6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6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6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6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6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6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6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6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6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6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6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6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6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6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6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6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6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6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6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6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6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6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6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6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6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6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6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6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6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6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6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6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6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6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6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6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6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6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6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6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6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6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6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6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6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6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6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6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6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6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6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6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6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6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6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6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6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6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6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6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6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6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6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6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6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6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6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6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6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6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6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6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6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6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6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6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6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6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6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6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6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6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6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6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6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6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6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6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6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6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6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6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6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6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6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6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6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6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6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6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6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6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6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6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6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6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6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6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6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6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6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6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6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6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6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6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6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6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6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6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6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6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6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6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6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6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6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6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6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6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6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6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6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6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6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6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6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6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6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6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6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6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6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6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6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6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6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6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6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6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6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6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6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6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6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6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6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6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6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6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6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6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6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6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6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6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6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6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6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6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6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6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6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6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6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6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6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6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6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6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6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6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6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6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6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6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6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6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6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6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6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6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6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6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6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6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6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6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6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6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6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6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6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6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6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6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6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6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6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6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6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6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6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6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6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6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6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6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6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6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6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6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6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6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6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6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6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6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6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6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6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6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6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6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6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6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6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6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6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6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6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6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6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6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6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6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6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6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6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6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6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6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6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6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6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6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6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6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6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6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6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6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6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6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6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6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6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6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6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6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6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6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6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6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6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6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6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6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6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6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6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6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6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6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6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6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6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6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6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6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6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6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6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6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6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6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6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6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6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6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6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6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6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6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6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6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6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6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6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6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6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6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6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6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6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6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6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6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6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6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6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6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6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6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6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6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6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6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6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6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6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6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6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6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6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6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6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6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6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6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6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6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6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6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6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6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6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6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6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6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6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6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6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6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6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6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6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6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6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6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6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6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6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6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6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6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6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6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6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6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6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6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6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6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6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6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6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6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6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6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6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6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6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6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6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6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6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6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6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6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6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6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6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6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6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6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6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6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6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6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6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6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6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6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6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6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6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6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6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6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6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6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6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6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6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6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6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6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6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6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6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6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6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6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6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6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6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6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6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6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6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6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6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6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6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6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6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6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6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6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6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6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6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6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6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6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6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6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6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6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6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6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6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6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6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6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6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6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6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6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6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6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6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6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6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6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6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6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6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6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6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6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6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6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6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6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6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6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6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6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6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6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6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6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6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6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6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6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6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6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6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6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6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6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6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6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6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6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6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6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6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6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6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6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6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6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6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6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6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6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6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6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6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6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6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6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6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6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6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6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6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6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6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6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6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6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6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6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6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6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6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6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6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6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6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6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6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6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6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6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6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6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6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6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6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6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6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6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68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68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68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68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68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68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68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68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68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68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68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68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68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68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68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68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68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68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68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68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68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68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68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68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68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68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68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68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68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68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68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68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68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68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68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68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68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68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68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68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68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68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68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68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68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68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68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68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68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68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68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68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68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68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86"/>
      <c r="V971" s="86"/>
      <c r="W971" s="86"/>
      <c r="X971" s="86"/>
      <c r="Y971" s="86"/>
      <c r="Z971" s="86"/>
    </row>
    <row r="972">
      <c r="A972" s="4"/>
      <c r="B972" s="4"/>
      <c r="C972" s="4"/>
      <c r="D972" s="4"/>
      <c r="E972" s="4"/>
      <c r="F972" s="4"/>
      <c r="G972" s="4"/>
      <c r="H972" s="68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86"/>
      <c r="V972" s="86"/>
      <c r="W972" s="86"/>
      <c r="X972" s="86"/>
      <c r="Y972" s="86"/>
      <c r="Z972" s="86"/>
    </row>
    <row r="973">
      <c r="A973" s="4"/>
      <c r="B973" s="4"/>
      <c r="C973" s="4"/>
      <c r="D973" s="4"/>
      <c r="E973" s="4"/>
      <c r="F973" s="4"/>
      <c r="G973" s="4"/>
      <c r="H973" s="68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86"/>
      <c r="V973" s="86"/>
      <c r="W973" s="86"/>
      <c r="X973" s="86"/>
      <c r="Y973" s="86"/>
      <c r="Z973" s="86"/>
    </row>
    <row r="974">
      <c r="A974" s="4"/>
      <c r="B974" s="4"/>
      <c r="C974" s="4"/>
      <c r="D974" s="4"/>
      <c r="E974" s="4"/>
      <c r="F974" s="4"/>
      <c r="G974" s="4"/>
      <c r="H974" s="68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86"/>
      <c r="V974" s="86"/>
      <c r="W974" s="86"/>
      <c r="X974" s="86"/>
      <c r="Y974" s="86"/>
      <c r="Z974" s="86"/>
    </row>
    <row r="975">
      <c r="A975" s="4"/>
      <c r="B975" s="4"/>
      <c r="C975" s="4"/>
      <c r="D975" s="4"/>
      <c r="E975" s="4"/>
      <c r="F975" s="4"/>
      <c r="G975" s="4"/>
      <c r="H975" s="68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86"/>
      <c r="V975" s="86"/>
      <c r="W975" s="86"/>
      <c r="X975" s="86"/>
      <c r="Y975" s="86"/>
      <c r="Z975" s="86"/>
    </row>
    <row r="976">
      <c r="A976" s="4"/>
      <c r="B976" s="4"/>
      <c r="C976" s="4"/>
      <c r="D976" s="4"/>
      <c r="E976" s="4"/>
      <c r="F976" s="4"/>
      <c r="G976" s="4"/>
      <c r="H976" s="68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86"/>
      <c r="V976" s="86"/>
      <c r="W976" s="86"/>
      <c r="X976" s="86"/>
      <c r="Y976" s="86"/>
      <c r="Z976" s="86"/>
    </row>
    <row r="977">
      <c r="A977" s="4"/>
      <c r="B977" s="4"/>
      <c r="C977" s="4"/>
      <c r="D977" s="4"/>
      <c r="E977" s="4"/>
      <c r="F977" s="4"/>
      <c r="G977" s="4"/>
      <c r="H977" s="68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86"/>
      <c r="V977" s="86"/>
      <c r="W977" s="86"/>
      <c r="X977" s="86"/>
      <c r="Y977" s="86"/>
      <c r="Z977" s="86"/>
    </row>
    <row r="978">
      <c r="A978" s="4"/>
      <c r="B978" s="4"/>
      <c r="C978" s="4"/>
      <c r="D978" s="4"/>
      <c r="E978" s="4"/>
      <c r="F978" s="4"/>
      <c r="G978" s="4"/>
      <c r="H978" s="68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86"/>
      <c r="V978" s="86"/>
      <c r="W978" s="86"/>
      <c r="X978" s="86"/>
      <c r="Y978" s="86"/>
      <c r="Z978" s="86"/>
    </row>
    <row r="979">
      <c r="A979" s="4"/>
      <c r="B979" s="4"/>
      <c r="C979" s="4"/>
      <c r="D979" s="4"/>
      <c r="E979" s="4"/>
      <c r="F979" s="4"/>
      <c r="G979" s="4"/>
      <c r="H979" s="68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86"/>
      <c r="V979" s="86"/>
      <c r="W979" s="86"/>
      <c r="X979" s="86"/>
      <c r="Y979" s="86"/>
      <c r="Z979" s="86"/>
    </row>
    <row r="980">
      <c r="A980" s="4"/>
      <c r="B980" s="4"/>
      <c r="C980" s="4"/>
      <c r="D980" s="4"/>
      <c r="E980" s="4"/>
      <c r="F980" s="4"/>
      <c r="G980" s="4"/>
      <c r="H980" s="68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86"/>
      <c r="V980" s="86"/>
      <c r="W980" s="86"/>
      <c r="X980" s="86"/>
      <c r="Y980" s="86"/>
      <c r="Z980" s="86"/>
    </row>
    <row r="981">
      <c r="A981" s="4"/>
      <c r="B981" s="4"/>
      <c r="C981" s="4"/>
      <c r="D981" s="4"/>
      <c r="E981" s="4"/>
      <c r="F981" s="4"/>
      <c r="G981" s="4"/>
      <c r="H981" s="68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86"/>
      <c r="V981" s="86"/>
      <c r="W981" s="86"/>
      <c r="X981" s="86"/>
      <c r="Y981" s="86"/>
      <c r="Z981" s="86"/>
    </row>
    <row r="982">
      <c r="A982" s="4"/>
      <c r="B982" s="4"/>
      <c r="C982" s="4"/>
      <c r="D982" s="4"/>
      <c r="E982" s="4"/>
      <c r="F982" s="4"/>
      <c r="G982" s="4"/>
      <c r="H982" s="68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86"/>
      <c r="V982" s="86"/>
      <c r="W982" s="86"/>
      <c r="X982" s="86"/>
      <c r="Y982" s="86"/>
      <c r="Z982" s="86"/>
    </row>
    <row r="983">
      <c r="A983" s="4"/>
      <c r="B983" s="4"/>
      <c r="C983" s="4"/>
      <c r="D983" s="4"/>
      <c r="E983" s="4"/>
      <c r="F983" s="4"/>
      <c r="G983" s="4"/>
      <c r="H983" s="68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86"/>
      <c r="V983" s="86"/>
      <c r="W983" s="86"/>
      <c r="X983" s="86"/>
      <c r="Y983" s="86"/>
      <c r="Z983" s="86"/>
    </row>
    <row r="984">
      <c r="A984" s="4"/>
      <c r="B984" s="4"/>
      <c r="C984" s="4"/>
      <c r="D984" s="4"/>
      <c r="E984" s="4"/>
      <c r="F984" s="4"/>
      <c r="G984" s="4"/>
      <c r="H984" s="68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86"/>
      <c r="V984" s="86"/>
      <c r="W984" s="86"/>
      <c r="X984" s="86"/>
      <c r="Y984" s="86"/>
      <c r="Z984" s="86"/>
    </row>
    <row r="985">
      <c r="A985" s="4"/>
      <c r="B985" s="4"/>
      <c r="C985" s="4"/>
      <c r="D985" s="4"/>
      <c r="E985" s="4"/>
      <c r="F985" s="4"/>
      <c r="G985" s="4"/>
      <c r="H985" s="68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86"/>
      <c r="V985" s="86"/>
      <c r="W985" s="86"/>
      <c r="X985" s="86"/>
      <c r="Y985" s="86"/>
      <c r="Z985" s="86"/>
    </row>
    <row r="986">
      <c r="A986" s="4"/>
      <c r="B986" s="4"/>
      <c r="C986" s="4"/>
      <c r="D986" s="4"/>
      <c r="E986" s="4"/>
      <c r="F986" s="4"/>
      <c r="G986" s="4"/>
      <c r="H986" s="68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86"/>
      <c r="V986" s="86"/>
      <c r="W986" s="86"/>
      <c r="X986" s="86"/>
      <c r="Y986" s="86"/>
      <c r="Z986" s="86"/>
    </row>
    <row r="987">
      <c r="A987" s="4"/>
      <c r="B987" s="4"/>
      <c r="C987" s="4"/>
      <c r="D987" s="4"/>
      <c r="E987" s="4"/>
      <c r="F987" s="4"/>
      <c r="G987" s="4"/>
      <c r="H987" s="68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86"/>
      <c r="V987" s="86"/>
      <c r="W987" s="86"/>
      <c r="X987" s="86"/>
      <c r="Y987" s="86"/>
      <c r="Z987" s="86"/>
    </row>
    <row r="988">
      <c r="A988" s="4"/>
      <c r="B988" s="4"/>
      <c r="C988" s="4"/>
      <c r="D988" s="4"/>
      <c r="E988" s="4"/>
      <c r="F988" s="4"/>
      <c r="G988" s="4"/>
      <c r="H988" s="68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86"/>
      <c r="V988" s="86"/>
      <c r="W988" s="86"/>
      <c r="X988" s="86"/>
      <c r="Y988" s="86"/>
      <c r="Z988" s="86"/>
    </row>
    <row r="989">
      <c r="A989" s="4"/>
      <c r="B989" s="4"/>
      <c r="C989" s="4"/>
      <c r="D989" s="4"/>
      <c r="E989" s="4"/>
      <c r="F989" s="4"/>
      <c r="G989" s="4"/>
      <c r="H989" s="68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86"/>
      <c r="V989" s="86"/>
      <c r="W989" s="86"/>
      <c r="X989" s="86"/>
      <c r="Y989" s="86"/>
      <c r="Z989" s="86"/>
    </row>
    <row r="990">
      <c r="A990" s="4"/>
      <c r="B990" s="4"/>
      <c r="C990" s="4"/>
      <c r="D990" s="4"/>
      <c r="E990" s="4"/>
      <c r="F990" s="4"/>
      <c r="G990" s="4"/>
      <c r="H990" s="68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86"/>
      <c r="V990" s="86"/>
      <c r="W990" s="86"/>
      <c r="X990" s="86"/>
      <c r="Y990" s="86"/>
      <c r="Z990" s="86"/>
    </row>
    <row r="991">
      <c r="A991" s="4"/>
      <c r="B991" s="4"/>
      <c r="C991" s="4"/>
      <c r="D991" s="4"/>
      <c r="E991" s="4"/>
      <c r="F991" s="4"/>
      <c r="G991" s="4"/>
      <c r="H991" s="68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86"/>
      <c r="V991" s="86"/>
      <c r="W991" s="86"/>
      <c r="X991" s="86"/>
      <c r="Y991" s="86"/>
      <c r="Z991" s="86"/>
    </row>
    <row r="992">
      <c r="A992" s="4"/>
      <c r="B992" s="4"/>
      <c r="C992" s="4"/>
      <c r="D992" s="4"/>
      <c r="E992" s="4"/>
      <c r="F992" s="4"/>
      <c r="G992" s="4"/>
      <c r="H992" s="68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86"/>
      <c r="V992" s="86"/>
      <c r="W992" s="86"/>
      <c r="X992" s="86"/>
      <c r="Y992" s="86"/>
      <c r="Z992" s="86"/>
    </row>
    <row r="993">
      <c r="A993" s="4"/>
      <c r="B993" s="4"/>
      <c r="C993" s="4"/>
      <c r="D993" s="4"/>
      <c r="E993" s="4"/>
      <c r="F993" s="4"/>
      <c r="G993" s="4"/>
      <c r="H993" s="68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86"/>
      <c r="V993" s="86"/>
      <c r="W993" s="86"/>
      <c r="X993" s="86"/>
      <c r="Y993" s="86"/>
      <c r="Z993" s="86"/>
    </row>
    <row r="994">
      <c r="A994" s="4"/>
      <c r="B994" s="4"/>
      <c r="C994" s="4"/>
      <c r="D994" s="4"/>
      <c r="E994" s="4"/>
      <c r="F994" s="4"/>
      <c r="G994" s="4"/>
      <c r="H994" s="68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86"/>
      <c r="V994" s="86"/>
      <c r="W994" s="86"/>
      <c r="X994" s="86"/>
      <c r="Y994" s="86"/>
      <c r="Z994" s="86"/>
    </row>
    <row r="995">
      <c r="A995" s="4"/>
      <c r="B995" s="4"/>
      <c r="C995" s="4"/>
      <c r="D995" s="4"/>
      <c r="E995" s="4"/>
      <c r="F995" s="4"/>
      <c r="G995" s="4"/>
      <c r="H995" s="87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86"/>
      <c r="V995" s="86"/>
      <c r="W995" s="86"/>
      <c r="X995" s="86"/>
      <c r="Y995" s="86"/>
      <c r="Z995" s="86"/>
    </row>
    <row r="996">
      <c r="A996" s="4"/>
      <c r="B996" s="4"/>
      <c r="C996" s="4"/>
      <c r="D996" s="4"/>
      <c r="E996" s="4"/>
      <c r="F996" s="4"/>
      <c r="G996" s="4"/>
      <c r="H996" s="87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86"/>
      <c r="V996" s="86"/>
      <c r="W996" s="86"/>
      <c r="X996" s="86"/>
      <c r="Y996" s="86"/>
      <c r="Z996" s="86"/>
    </row>
    <row r="997">
      <c r="A997" s="4"/>
      <c r="B997" s="4"/>
      <c r="C997" s="4"/>
      <c r="D997" s="4"/>
      <c r="E997" s="4"/>
      <c r="F997" s="4"/>
      <c r="G997" s="4"/>
      <c r="H997" s="87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86"/>
      <c r="V997" s="86"/>
      <c r="W997" s="86"/>
      <c r="X997" s="86"/>
      <c r="Y997" s="86"/>
      <c r="Z997" s="86"/>
    </row>
    <row r="998">
      <c r="A998" s="4"/>
      <c r="B998" s="4"/>
      <c r="C998" s="4"/>
      <c r="D998" s="4"/>
      <c r="E998" s="4"/>
      <c r="F998" s="4"/>
      <c r="G998" s="4"/>
      <c r="H998" s="87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86"/>
      <c r="V998" s="86"/>
      <c r="W998" s="86"/>
      <c r="X998" s="86"/>
      <c r="Y998" s="86"/>
      <c r="Z998" s="86"/>
    </row>
    <row r="999">
      <c r="A999" s="4"/>
      <c r="B999" s="4"/>
      <c r="C999" s="4"/>
      <c r="D999" s="4"/>
      <c r="E999" s="4"/>
      <c r="F999" s="4"/>
      <c r="G999" s="4"/>
      <c r="H999" s="87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86"/>
      <c r="V999" s="86"/>
      <c r="W999" s="86"/>
      <c r="X999" s="86"/>
      <c r="Y999" s="86"/>
      <c r="Z999" s="86"/>
    </row>
    <row r="1000">
      <c r="A1000" s="4"/>
      <c r="B1000" s="4"/>
      <c r="C1000" s="4"/>
      <c r="D1000" s="4"/>
      <c r="E1000" s="4"/>
      <c r="F1000" s="4"/>
      <c r="G1000" s="4"/>
      <c r="H1000" s="87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86"/>
      <c r="V1000" s="86"/>
      <c r="W1000" s="86"/>
      <c r="X1000" s="86"/>
      <c r="Y1000" s="86"/>
      <c r="Z1000" s="86"/>
    </row>
    <row r="1001">
      <c r="A1001" s="4"/>
      <c r="B1001" s="4"/>
      <c r="C1001" s="4"/>
      <c r="D1001" s="4"/>
      <c r="E1001" s="4"/>
      <c r="F1001" s="4"/>
      <c r="G1001" s="4"/>
      <c r="H1001" s="87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86"/>
      <c r="V1001" s="86"/>
      <c r="W1001" s="86"/>
      <c r="X1001" s="86"/>
      <c r="Y1001" s="86"/>
      <c r="Z1001" s="86"/>
    </row>
    <row r="1002">
      <c r="A1002" s="4"/>
      <c r="B1002" s="4"/>
      <c r="C1002" s="4"/>
      <c r="D1002" s="4"/>
      <c r="E1002" s="4"/>
      <c r="F1002" s="4"/>
      <c r="G1002" s="4"/>
      <c r="H1002" s="87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86"/>
      <c r="V1002" s="86"/>
      <c r="W1002" s="86"/>
      <c r="X1002" s="86"/>
      <c r="Y1002" s="86"/>
      <c r="Z1002" s="86"/>
    </row>
    <row r="1003">
      <c r="A1003" s="4"/>
      <c r="B1003" s="4"/>
      <c r="C1003" s="4"/>
      <c r="D1003" s="4"/>
      <c r="E1003" s="4"/>
      <c r="F1003" s="4"/>
      <c r="G1003" s="4"/>
      <c r="H1003" s="87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86"/>
      <c r="V1003" s="86"/>
      <c r="W1003" s="86"/>
      <c r="X1003" s="86"/>
      <c r="Y1003" s="86"/>
      <c r="Z1003" s="86"/>
    </row>
    <row r="1004">
      <c r="A1004" s="4"/>
      <c r="B1004" s="4"/>
      <c r="C1004" s="4"/>
      <c r="D1004" s="4"/>
      <c r="E1004" s="4"/>
      <c r="F1004" s="4"/>
      <c r="G1004" s="4"/>
      <c r="H1004" s="87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86"/>
      <c r="V1004" s="86"/>
      <c r="W1004" s="86"/>
      <c r="X1004" s="86"/>
      <c r="Y1004" s="86"/>
      <c r="Z1004" s="86"/>
    </row>
    <row r="1005">
      <c r="A1005" s="4"/>
      <c r="B1005" s="4"/>
      <c r="C1005" s="4"/>
      <c r="D1005" s="4"/>
      <c r="E1005" s="4"/>
      <c r="F1005" s="4"/>
      <c r="G1005" s="4"/>
      <c r="H1005" s="87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86"/>
      <c r="V1005" s="86"/>
      <c r="W1005" s="86"/>
      <c r="X1005" s="86"/>
      <c r="Y1005" s="86"/>
      <c r="Z1005" s="86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