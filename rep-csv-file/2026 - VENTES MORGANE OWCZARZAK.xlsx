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" sheetId="1" r:id="rId4"/>
    <sheet state="visible" name="Janvier" sheetId="2" r:id="rId5"/>
    <sheet state="visible" name="Février" sheetId="3" r:id="rId6"/>
    <sheet state="visible" name="Mars" sheetId="4" r:id="rId7"/>
    <sheet state="visible" name="Avril" sheetId="5" r:id="rId8"/>
    <sheet state="visible" name="Mai" sheetId="6" r:id="rId9"/>
    <sheet state="visible" name="Juin" sheetId="7" r:id="rId10"/>
    <sheet state="visible" name="Juillet" sheetId="8" r:id="rId11"/>
    <sheet state="visible" name="Août" sheetId="9" r:id="rId12"/>
    <sheet state="visible" name="Septembre" sheetId="10" r:id="rId13"/>
    <sheet state="visible" name="Octobre" sheetId="11" r:id="rId14"/>
    <sheet state="visible" name="Novembre" sheetId="12" r:id="rId15"/>
    <sheet state="visible" name="Décembre" sheetId="13" r:id="rId16"/>
  </sheets>
  <definedNames>
    <definedName hidden="1" localSheetId="4" name="_xlnm._FilterDatabase">Avril!$A$7:$G$211</definedName>
    <definedName hidden="1" localSheetId="7" name="_xlnm._FilterDatabase">Juillet!$A$7:$G$212</definedName>
    <definedName hidden="1" localSheetId="9" name="_xlnm._FilterDatabase">Septembre!$A$7:$G$212</definedName>
    <definedName hidden="1" localSheetId="10" name="_xlnm._FilterDatabase">Octobre!$A$7:$G$212</definedName>
  </definedNames>
  <calcPr/>
</workbook>
</file>

<file path=xl/sharedStrings.xml><?xml version="1.0" encoding="utf-8"?>
<sst xmlns="http://schemas.openxmlformats.org/spreadsheetml/2006/main" count="461" uniqueCount="134">
  <si>
    <t>OBJECTIF ANNUEL</t>
  </si>
  <si>
    <t>Total</t>
  </si>
  <si>
    <t>Période</t>
  </si>
  <si>
    <t>Objectif</t>
  </si>
  <si>
    <t>% atteint</t>
  </si>
  <si>
    <t>Vente de l'année</t>
  </si>
  <si>
    <t>JANVIER</t>
  </si>
  <si>
    <t>FÉVRIER</t>
  </si>
  <si>
    <t>Objectif de vente annuel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</si>
  <si>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</si>
  <si>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</si>
  <si>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</si>
  <si>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</si>
  <si>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</si>
  <si>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</si>
  <si>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</si>
  <si>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</si>
  <si>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</si>
  <si>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</si>
  <si>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MULTI-ANNONCEURS</t>
  </si>
  <si>
    <t>PROMOTIONNEL</t>
  </si>
  <si>
    <t>DIST. PUBLICITAIRE SOLO</t>
  </si>
  <si>
    <t>NUMÉRIQUE</t>
  </si>
  <si>
    <t>APPLICATION</t>
  </si>
  <si>
    <t>SERVICES IA</t>
  </si>
  <si>
    <t>Totaux</t>
  </si>
  <si>
    <t>MÉDIA MULTI-ANNONCEURS</t>
  </si>
  <si>
    <t>Commission</t>
  </si>
  <si>
    <t>Vente</t>
  </si>
  <si>
    <t>CLIENT</t>
  </si>
  <si>
    <t>TOTAL (AVANT TAXES)</t>
  </si>
  <si>
    <t># FACTURE</t>
  </si>
  <si>
    <t>DATE</t>
  </si>
  <si>
    <t>REPRÉSENTANT</t>
  </si>
  <si>
    <t>DÉPARTEMENT</t>
  </si>
  <si>
    <t>COMMISSION</t>
  </si>
  <si>
    <t>CPE Fleur de Papier</t>
  </si>
  <si>
    <t>QC-019165</t>
  </si>
  <si>
    <t>Morgane Owczarzak</t>
  </si>
  <si>
    <t>QC-019164</t>
  </si>
  <si>
    <t>Ça l'air cochon</t>
  </si>
  <si>
    <t>QC-019163</t>
  </si>
  <si>
    <t>Alarme St Jérôme</t>
  </si>
  <si>
    <t>QC-019170</t>
  </si>
  <si>
    <t>SDQL</t>
  </si>
  <si>
    <t>QC-019167</t>
  </si>
  <si>
    <t>Run n Talk - ULaval</t>
  </si>
  <si>
    <t>QC-019275</t>
  </si>
  <si>
    <t>20e Groupe Scout du Triangle</t>
  </si>
  <si>
    <t>QC-019266</t>
  </si>
  <si>
    <t>Habitations Denali</t>
  </si>
  <si>
    <t>QC-019264</t>
  </si>
  <si>
    <t>Irrigation CM</t>
  </si>
  <si>
    <t>QC-019446</t>
  </si>
  <si>
    <t>Strana Talent</t>
  </si>
  <si>
    <t>QC-019417</t>
  </si>
  <si>
    <t>CN-01077</t>
  </si>
  <si>
    <t>CN-01076</t>
  </si>
  <si>
    <t>QC-019465</t>
  </si>
  <si>
    <t>Wampole, une division de Corporation JAMP Pharma</t>
  </si>
  <si>
    <t>QC-019514</t>
  </si>
  <si>
    <t>Pro Pac Industries</t>
  </si>
  <si>
    <t>QC-019504</t>
  </si>
  <si>
    <t>FKL Construction</t>
  </si>
  <si>
    <t>QC-019502</t>
  </si>
  <si>
    <t>TOTAL(AVANTTAXES)</t>
  </si>
  <si>
    <t>LaGermaineResto</t>
  </si>
  <si>
    <t>QC-019906</t>
  </si>
  <si>
    <t>MorganeOwczarzak</t>
  </si>
  <si>
    <t>QC-019905</t>
  </si>
  <si>
    <t>QC-019904</t>
  </si>
  <si>
    <t>SNEEKronosCanada</t>
  </si>
  <si>
    <t>QC-019903</t>
  </si>
  <si>
    <t>LEMBRO</t>
  </si>
  <si>
    <t>QC-019891</t>
  </si>
  <si>
    <t>PlateformeBioalimentairesolidar</t>
  </si>
  <si>
    <t>QC-019890</t>
  </si>
  <si>
    <t>GrueMobileVeilleuxInc.</t>
  </si>
  <si>
    <t>QC-019889</t>
  </si>
  <si>
    <t>LavagedevitresÉlite</t>
  </si>
  <si>
    <t>QC-019882</t>
  </si>
  <si>
    <t>SPIQInspectionIncendie</t>
  </si>
  <si>
    <t>QC-019840</t>
  </si>
  <si>
    <t>Rénov-actionD.Rinc</t>
  </si>
  <si>
    <t>QC-019834</t>
  </si>
  <si>
    <t>Clubdel'âged'Or</t>
  </si>
  <si>
    <t>QC-019833</t>
  </si>
  <si>
    <t>CIUSSSduCentre-Sud-de-l'Île-de-Montréal</t>
  </si>
  <si>
    <t>QC-019791</t>
  </si>
  <si>
    <t>PlastilabTechnologie</t>
  </si>
  <si>
    <t>QC-019766</t>
  </si>
  <si>
    <t>QC-019732</t>
  </si>
  <si>
    <t>QC-019724</t>
  </si>
  <si>
    <t>Métalexpress</t>
  </si>
  <si>
    <t>QC-019714</t>
  </si>
  <si>
    <t>ClubdecanotageOBC</t>
  </si>
  <si>
    <t>QC-019531</t>
  </si>
  <si>
    <t>Les Entreprises Roseneige</t>
  </si>
  <si>
    <t>QC-019986</t>
  </si>
  <si>
    <t>QC-020046</t>
  </si>
  <si>
    <t>Maxxing</t>
  </si>
  <si>
    <t>QC-020053</t>
  </si>
  <si>
    <t>CR PRO Solution Inc.</t>
  </si>
  <si>
    <t>QC-020084</t>
  </si>
  <si>
    <t>Daniel Paré</t>
  </si>
  <si>
    <t>QC-020114</t>
  </si>
  <si>
    <t>Services horticoles pouce-vert</t>
  </si>
  <si>
    <t>QC-020112</t>
  </si>
  <si>
    <t>QC-020109</t>
  </si>
  <si>
    <t>Kaboom auto-tamponneuse Inc</t>
  </si>
  <si>
    <t>QC-020134</t>
  </si>
  <si>
    <t>QC-020146</t>
  </si>
  <si>
    <t>Costco Wholesale</t>
  </si>
  <si>
    <t>QC-020143</t>
  </si>
  <si>
    <t>Transport Mathieu Lessard</t>
  </si>
  <si>
    <t>QC-020142</t>
  </si>
  <si>
    <t>Kanatrac</t>
  </si>
  <si>
    <t>QC-020140</t>
  </si>
  <si>
    <t>Voyages FQCC</t>
  </si>
  <si>
    <t>QC-020212</t>
  </si>
  <si>
    <t>Lysair</t>
  </si>
  <si>
    <t>QC-020200</t>
  </si>
  <si>
    <t>Emilie Giguère Notaire</t>
  </si>
  <si>
    <t>QC-020176</t>
  </si>
  <si>
    <t>St-Pierre Chiropratique</t>
  </si>
  <si>
    <t>QC-020175</t>
  </si>
  <si>
    <t>QC-020164</t>
  </si>
  <si>
    <t>Réparations Ferroviaires KLN inc.</t>
  </si>
  <si>
    <t>QC-020285</t>
  </si>
  <si>
    <t>QC-020280</t>
  </si>
  <si>
    <t>The Offroaders</t>
  </si>
  <si>
    <t>QC-020264</t>
  </si>
  <si>
    <t>SNEE Kronos Canada</t>
  </si>
  <si>
    <t>CN-01185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</si>
</sst>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[$$]"/>
    <numFmt numFmtId="165" formatCode="_-* #,##0.00\ &quot;$&quot;_-;\-* #,##0.00\ &quot;$&quot;_-;_-* &quot;-&quot;??\ &quot;$&quot;_-;_-@"/>
    <numFmt numFmtId="166" formatCode="[$$]#,##0.00"/>
    <numFmt numFmtId="167" formatCode="dd/MM/yyyy"/>
    <numFmt numFmtId="168" formatCode="&quot;$&quot;#,##0.00"/>
    <numFmt numFmtId="169" formatCode="dd-mm-yy"/>
    <numFmt numFmtId="170" formatCode="yyyy-mm-dd"/>
  </numFmts>
  <fonts count="11">
    <font>
      <sz val="11.0"/>
      <color rgb="FF000000"/>
      <name val="Calibri"/>
    </font>
    <font>
      <b/>
      <sz val="11.0"/>
      <name val="Calibri"/>
    </font>
    <font/>
    <font>
      <sz val="11.0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2.0"/>
      <color rgb="FF000000"/>
      <name val="Calibri"/>
    </font>
    <font>
      <b/>
      <sz val="11.0"/>
      <color rgb="FF000000"/>
      <name val="Arial"/>
    </font>
    <font>
      <sz val="12.0"/>
      <name val="Calibri"/>
    </font>
    <font>
      <b/>
      <sz val="18.0"/>
      <name val="Calibri"/>
    </font>
    <font>
      <b/>
      <sz val="14.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6" fillId="2" fontId="6" numFmtId="0" xfId="0" applyAlignment="1" applyBorder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3" fontId="0" numFmtId="16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/>
    </xf>
    <xf borderId="5" fillId="0" fontId="3" numFmtId="10" xfId="0" applyAlignment="1" applyBorder="1" applyFont="1" applyNumberForma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3" numFmtId="2" xfId="0" applyAlignment="1" applyBorder="1" applyFont="1" applyNumberFormat="1">
      <alignment horizontal="center"/>
    </xf>
    <xf borderId="10" fillId="0" fontId="3" numFmtId="10" xfId="0" applyAlignment="1" applyBorder="1" applyFont="1" applyNumberFormat="1">
      <alignment horizontal="center" vertical="bottom"/>
    </xf>
    <xf borderId="0" fillId="0" fontId="0" numFmtId="16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6" fillId="2" fontId="6" numFmtId="0" xfId="0" applyAlignment="1" applyBorder="1" applyFont="1">
      <alignment horizontal="center" shrinkToFit="0" vertical="center" wrapText="1"/>
    </xf>
    <xf borderId="7" fillId="0" fontId="3" numFmtId="1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5" fillId="4" fontId="6" numFmtId="165" xfId="0" applyAlignment="1" applyBorder="1" applyFill="1" applyFont="1" applyNumberFormat="1">
      <alignment horizontal="center" vertical="center"/>
    </xf>
    <xf borderId="5" fillId="4" fontId="6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horizontal="center" readingOrder="0" vertical="center"/>
    </xf>
    <xf borderId="2" fillId="9" fontId="4" numFmtId="0" xfId="0" applyAlignment="1" applyBorder="1" applyFill="1" applyFont="1">
      <alignment horizontal="center" readingOrder="0" vertical="center"/>
    </xf>
    <xf borderId="2" fillId="10" fontId="4" numFmtId="0" xfId="0" applyAlignment="1" applyBorder="1" applyFill="1" applyFont="1">
      <alignment horizontal="center" readingOrder="0" vertical="center"/>
    </xf>
    <xf borderId="11" fillId="3" fontId="7" numFmtId="0" xfId="0" applyAlignment="1" applyBorder="1" applyFont="1">
      <alignment horizontal="center" vertical="center"/>
    </xf>
    <xf borderId="11" fillId="3" fontId="0" numFmtId="16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vertical="center"/>
    </xf>
    <xf borderId="4" fillId="0" fontId="3" numFmtId="10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readingOrder="0"/>
    </xf>
    <xf borderId="4" fillId="0" fontId="3" numFmtId="4" xfId="0" applyAlignment="1" applyBorder="1" applyFont="1" applyNumberFormat="1">
      <alignment horizontal="center" readingOrder="0" vertical="center"/>
    </xf>
    <xf borderId="11" fillId="3" fontId="6" numFmtId="0" xfId="0" applyAlignment="1" applyBorder="1" applyFon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6" numFmtId="10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readingOrder="0" vertical="bottom"/>
    </xf>
    <xf borderId="0" fillId="0" fontId="3" numFmtId="2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5" fontId="10" numFmtId="164" xfId="0" applyAlignment="1" applyFont="1" applyNumberFormat="1">
      <alignment horizontal="center" vertical="center"/>
    </xf>
    <xf borderId="0" fillId="6" fontId="10" numFmtId="164" xfId="0" applyAlignment="1" applyFont="1" applyNumberFormat="1">
      <alignment horizontal="center" vertical="center"/>
    </xf>
    <xf borderId="0" fillId="7" fontId="10" numFmtId="164" xfId="0" applyAlignment="1" applyFont="1" applyNumberFormat="1">
      <alignment horizontal="center" vertical="center"/>
    </xf>
    <xf borderId="0" fillId="8" fontId="10" numFmtId="164" xfId="0" applyAlignment="1" applyFont="1" applyNumberFormat="1">
      <alignment horizontal="center" vertical="center"/>
    </xf>
    <xf borderId="0" fillId="9" fontId="10" numFmtId="164" xfId="0" applyAlignment="1" applyFont="1" applyNumberFormat="1">
      <alignment horizontal="center" vertical="center"/>
    </xf>
    <xf borderId="0" fillId="10" fontId="10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readingOrder="0" shrinkToFit="0" vertical="bottom" wrapText="0"/>
    </xf>
    <xf borderId="0" fillId="0" fontId="0" numFmtId="166" xfId="0" applyAlignment="1" applyFont="1" applyNumberFormat="1">
      <alignment horizontal="center" readingOrder="0" shrinkToFit="0" vertical="bottom" wrapText="0"/>
    </xf>
    <xf borderId="0" fillId="0" fontId="0" numFmtId="3" xfId="0" applyAlignment="1" applyFont="1" applyNumberFormat="1">
      <alignment horizontal="center" readingOrder="0" shrinkToFit="0" vertical="bottom" wrapText="0"/>
    </xf>
    <xf borderId="0" fillId="0" fontId="0" numFmtId="167" xfId="0" applyAlignment="1" applyFont="1" applyNumberFormat="1">
      <alignment horizontal="center" readingOrder="0" shrinkToFit="0" vertical="bottom" wrapText="0"/>
    </xf>
    <xf borderId="0" fillId="0" fontId="0" numFmtId="168" xfId="0" applyAlignment="1" applyFont="1" applyNumberFormat="1">
      <alignment horizontal="center" readingOrder="0" shrinkToFit="0" vertical="bottom" wrapText="0"/>
    </xf>
    <xf borderId="0" fillId="0" fontId="3" numFmtId="169" xfId="0" applyAlignment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0" fillId="0" fontId="3" numFmtId="170" xfId="0" applyAlignment="1" applyFont="1" applyNumberFormat="1">
      <alignment horizontal="center" shrinkToFit="0" vertical="center" wrapText="1"/>
    </xf>
    <xf borderId="0" fillId="0" fontId="3" numFmtId="170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vertical="center"/>
    </xf>
    <xf borderId="0" fillId="0" fontId="3" numFmtId="167" xfId="0" applyAlignment="1" applyFont="1" applyNumberFormat="1">
      <alignment horizontal="center" readingOrder="0" vertical="center"/>
    </xf>
    <xf borderId="0" fillId="0" fontId="3" numFmtId="168" xfId="0" applyAlignment="1" applyFont="1" applyNumberFormat="1">
      <alignment horizontal="center" readingOrder="0" vertical="center"/>
    </xf>
    <xf borderId="0" fillId="0" fontId="3" numFmtId="164" xfId="0" applyFont="1" applyNumberFormat="1"/>
    <xf borderId="0" fillId="0" fontId="1" numFmtId="49" xfId="0" applyAlignment="1" applyFont="1" applyNumberFormat="1">
      <alignment horizontal="center" readingOrder="0" vertical="center"/>
    </xf>
    <xf borderId="0" fillId="0" fontId="0" numFmtId="170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3" width="16.4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3"/>
      <c r="C2" s="6" t="s">
        <v>1</v>
      </c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7" t="s">
        <v>2</v>
      </c>
      <c r="B3" s="3"/>
      <c r="C3" s="8">
        <v>2025.0</v>
      </c>
      <c r="D3" s="8">
        <v>2026.0</v>
      </c>
      <c r="E3" s="9"/>
      <c r="F3" s="10" t="s">
        <v>3</v>
      </c>
      <c r="G3" s="10" t="s">
        <v>4</v>
      </c>
      <c r="H3" s="11"/>
      <c r="I3" s="4"/>
      <c r="J3" s="4"/>
      <c r="K3" s="12" t="s">
        <v>5</v>
      </c>
      <c r="L3" s="13">
        <f>D16</f>
        <v>70424.56</v>
      </c>
      <c r="M3" s="14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6" t="s">
        <v>6</v>
      </c>
      <c r="B4" s="3"/>
      <c r="C4" s="17"/>
      <c r="D4" s="17">
        <f>Janvier!B4</f>
        <v>8701.44</v>
      </c>
      <c r="E4" s="18"/>
      <c r="F4" s="18">
        <f t="shared" ref="F4:F15" si="1">E21+I21+M21+Q21+U21+Y21</f>
        <v>13500</v>
      </c>
      <c r="G4" s="19">
        <f t="shared" ref="G4:G16" si="2">D4/F4</f>
        <v>0.6445511111</v>
      </c>
      <c r="H4" s="4"/>
      <c r="I4" s="4"/>
      <c r="J4" s="4"/>
      <c r="K4" s="20"/>
      <c r="L4" s="21"/>
      <c r="M4" s="22"/>
      <c r="N4" s="2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4"/>
      <c r="AF4" s="25"/>
      <c r="AG4" s="4"/>
    </row>
    <row r="5">
      <c r="A5" s="16" t="s">
        <v>7</v>
      </c>
      <c r="B5" s="3"/>
      <c r="C5" s="17"/>
      <c r="D5" s="17">
        <f>'Février'!B4</f>
        <v>11067.07</v>
      </c>
      <c r="E5" s="26"/>
      <c r="F5" s="18">
        <f t="shared" si="1"/>
        <v>23250</v>
      </c>
      <c r="G5" s="27">
        <f t="shared" si="2"/>
        <v>0.4760030108</v>
      </c>
      <c r="H5" s="4"/>
      <c r="I5" s="4"/>
      <c r="J5" s="4"/>
      <c r="K5" s="12" t="s">
        <v>8</v>
      </c>
      <c r="L5" s="13">
        <f>E33+I33+M33+Q33+U33+Y33</f>
        <v>300000</v>
      </c>
      <c r="M5" s="14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8"/>
      <c r="AF5" s="29"/>
      <c r="AG5" s="4"/>
    </row>
    <row r="6">
      <c r="A6" s="16" t="s">
        <v>9</v>
      </c>
      <c r="B6" s="3"/>
      <c r="C6" s="17"/>
      <c r="D6" s="17">
        <f>Mars!B4</f>
        <v>20331.61</v>
      </c>
      <c r="E6" s="26"/>
      <c r="F6" s="18">
        <f t="shared" si="1"/>
        <v>27000</v>
      </c>
      <c r="G6" s="27">
        <f t="shared" si="2"/>
        <v>0.7530225926</v>
      </c>
      <c r="H6" s="4"/>
      <c r="I6" s="4"/>
      <c r="J6" s="4"/>
      <c r="K6" s="20"/>
      <c r="L6" s="21"/>
      <c r="M6" s="22"/>
      <c r="N6" s="2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/>
      <c r="AF6" s="29"/>
      <c r="AG6" s="4"/>
    </row>
    <row r="7">
      <c r="A7" s="16" t="s">
        <v>10</v>
      </c>
      <c r="B7" s="3"/>
      <c r="C7" s="17"/>
      <c r="D7" s="17">
        <f>Avril!B4</f>
        <v>30324.44</v>
      </c>
      <c r="E7" s="26"/>
      <c r="F7" s="18">
        <f t="shared" si="1"/>
        <v>24750</v>
      </c>
      <c r="G7" s="27">
        <f t="shared" si="2"/>
        <v>1.225229899</v>
      </c>
      <c r="H7" s="4"/>
      <c r="I7" s="4"/>
      <c r="J7" s="4"/>
      <c r="K7" s="30" t="s">
        <v>4</v>
      </c>
      <c r="L7" s="31">
        <f>L3/L5</f>
        <v>0.2347485333</v>
      </c>
      <c r="M7" s="14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8"/>
      <c r="AF7" s="29"/>
      <c r="AG7" s="4"/>
    </row>
    <row r="8">
      <c r="A8" s="16" t="s">
        <v>11</v>
      </c>
      <c r="B8" s="3"/>
      <c r="C8" s="17"/>
      <c r="D8" s="17">
        <f>Mai!B4</f>
        <v>0</v>
      </c>
      <c r="E8" s="26"/>
      <c r="F8" s="18">
        <f t="shared" si="1"/>
        <v>36000</v>
      </c>
      <c r="G8" s="27">
        <f t="shared" si="2"/>
        <v>0</v>
      </c>
      <c r="H8" s="4"/>
      <c r="I8" s="4"/>
      <c r="J8" s="4"/>
      <c r="K8" s="20"/>
      <c r="L8" s="21"/>
      <c r="M8" s="22"/>
      <c r="N8" s="2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28"/>
      <c r="AF8" s="29"/>
      <c r="AG8" s="4"/>
    </row>
    <row r="9">
      <c r="A9" s="16" t="s">
        <v>12</v>
      </c>
      <c r="B9" s="3"/>
      <c r="C9" s="17"/>
      <c r="D9" s="17">
        <f>Juin!B4</f>
        <v>0</v>
      </c>
      <c r="E9" s="26"/>
      <c r="F9" s="18">
        <f t="shared" si="1"/>
        <v>21000</v>
      </c>
      <c r="G9" s="27">
        <f t="shared" si="2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8"/>
      <c r="AF9" s="29"/>
      <c r="AG9" s="4"/>
    </row>
    <row r="10">
      <c r="A10" s="16" t="s">
        <v>13</v>
      </c>
      <c r="B10" s="3"/>
      <c r="C10" s="17"/>
      <c r="D10" s="17">
        <f>Juillet!B4</f>
        <v>0</v>
      </c>
      <c r="E10" s="26"/>
      <c r="F10" s="18">
        <f t="shared" si="1"/>
        <v>21750</v>
      </c>
      <c r="G10" s="27">
        <f t="shared" si="2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/>
      <c r="AF10" s="29"/>
      <c r="AG10" s="4"/>
    </row>
    <row r="11">
      <c r="A11" s="16" t="s">
        <v>14</v>
      </c>
      <c r="B11" s="3"/>
      <c r="C11" s="17"/>
      <c r="D11" s="17">
        <f>'Août'!B4</f>
        <v>0</v>
      </c>
      <c r="E11" s="26"/>
      <c r="F11" s="18">
        <f t="shared" si="1"/>
        <v>24000</v>
      </c>
      <c r="G11" s="27">
        <f t="shared" si="2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8"/>
      <c r="AF11" s="29"/>
      <c r="AG11" s="4"/>
    </row>
    <row r="12">
      <c r="A12" s="16" t="s">
        <v>15</v>
      </c>
      <c r="B12" s="3"/>
      <c r="C12" s="17"/>
      <c r="D12" s="17">
        <f>Septembre!B4</f>
        <v>0</v>
      </c>
      <c r="E12" s="26"/>
      <c r="F12" s="18">
        <f t="shared" si="1"/>
        <v>33000</v>
      </c>
      <c r="G12" s="27">
        <f t="shared" si="2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28"/>
      <c r="AF12" s="29"/>
      <c r="AG12" s="4"/>
    </row>
    <row r="13">
      <c r="A13" s="16" t="s">
        <v>16</v>
      </c>
      <c r="B13" s="3"/>
      <c r="C13" s="17"/>
      <c r="D13" s="17">
        <f>Octobre!B4</f>
        <v>0</v>
      </c>
      <c r="E13" s="26"/>
      <c r="F13" s="18">
        <f t="shared" si="1"/>
        <v>34500</v>
      </c>
      <c r="G13" s="27">
        <f t="shared" si="2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8"/>
      <c r="AF13" s="29"/>
      <c r="AG13" s="4"/>
    </row>
    <row r="14">
      <c r="A14" s="16" t="s">
        <v>17</v>
      </c>
      <c r="B14" s="3"/>
      <c r="C14" s="17"/>
      <c r="D14" s="17">
        <f>Novembre!B4</f>
        <v>0</v>
      </c>
      <c r="E14" s="26"/>
      <c r="F14" s="18">
        <f t="shared" si="1"/>
        <v>30000</v>
      </c>
      <c r="G14" s="27">
        <f t="shared" si="2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28"/>
      <c r="AF14" s="29"/>
      <c r="AG14" s="4"/>
    </row>
    <row r="15">
      <c r="A15" s="16" t="s">
        <v>18</v>
      </c>
      <c r="B15" s="3"/>
      <c r="C15" s="17"/>
      <c r="D15" s="17">
        <f>'Décembre'!B4</f>
        <v>0</v>
      </c>
      <c r="E15" s="26"/>
      <c r="F15" s="18">
        <f t="shared" si="1"/>
        <v>11250</v>
      </c>
      <c r="G15" s="27">
        <f t="shared" si="2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8"/>
      <c r="AF15" s="29"/>
      <c r="AG15" s="4"/>
    </row>
    <row r="16">
      <c r="A16" s="32" t="s">
        <v>1</v>
      </c>
      <c r="B16" s="3"/>
      <c r="C16" s="33">
        <f t="shared" ref="C16:D16" si="3">SUM(C4:C15)</f>
        <v>0</v>
      </c>
      <c r="D16" s="33">
        <f t="shared" si="3"/>
        <v>70424.56</v>
      </c>
      <c r="E16" s="33"/>
      <c r="F16" s="33">
        <f>SUM(F4:F15)</f>
        <v>300000</v>
      </c>
      <c r="G16" s="34">
        <f t="shared" si="2"/>
        <v>0.2347485333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28"/>
      <c r="AF16" s="29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5"/>
      <c r="AF17" s="36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37"/>
      <c r="B19" s="38"/>
      <c r="C19" s="39" t="s">
        <v>19</v>
      </c>
      <c r="D19" s="2"/>
      <c r="E19" s="2"/>
      <c r="F19" s="3"/>
      <c r="G19" s="40" t="s">
        <v>20</v>
      </c>
      <c r="H19" s="2"/>
      <c r="I19" s="2"/>
      <c r="J19" s="3"/>
      <c r="K19" s="41" t="s">
        <v>21</v>
      </c>
      <c r="L19" s="2"/>
      <c r="M19" s="2"/>
      <c r="N19" s="3"/>
      <c r="O19" s="42" t="s">
        <v>22</v>
      </c>
      <c r="P19" s="2"/>
      <c r="Q19" s="2"/>
      <c r="R19" s="3"/>
      <c r="S19" s="43" t="s">
        <v>23</v>
      </c>
      <c r="T19" s="2"/>
      <c r="U19" s="2"/>
      <c r="V19" s="3"/>
      <c r="W19" s="44" t="s">
        <v>24</v>
      </c>
      <c r="X19" s="2"/>
      <c r="Y19" s="2"/>
      <c r="Z19" s="3"/>
      <c r="AA19" s="4"/>
      <c r="AB19" s="4"/>
      <c r="AC19" s="4"/>
      <c r="AD19" s="4"/>
      <c r="AE19" s="4"/>
      <c r="AF19" s="4"/>
      <c r="AG19" s="4"/>
    </row>
    <row r="20">
      <c r="A20" s="45" t="s">
        <v>2</v>
      </c>
      <c r="B20" s="23"/>
      <c r="C20" s="8">
        <v>2025.0</v>
      </c>
      <c r="D20" s="8">
        <v>2026.0</v>
      </c>
      <c r="E20" s="8" t="s">
        <v>3</v>
      </c>
      <c r="F20" s="9" t="s">
        <v>4</v>
      </c>
      <c r="G20" s="8">
        <v>2025.0</v>
      </c>
      <c r="H20" s="8">
        <v>2026.0</v>
      </c>
      <c r="I20" s="8" t="s">
        <v>3</v>
      </c>
      <c r="J20" s="9" t="s">
        <v>4</v>
      </c>
      <c r="K20" s="8">
        <v>2025.0</v>
      </c>
      <c r="L20" s="8">
        <v>2026.0</v>
      </c>
      <c r="M20" s="8" t="s">
        <v>3</v>
      </c>
      <c r="N20" s="9" t="s">
        <v>4</v>
      </c>
      <c r="O20" s="8">
        <v>2025.0</v>
      </c>
      <c r="P20" s="8">
        <v>2026.0</v>
      </c>
      <c r="Q20" s="8" t="s">
        <v>3</v>
      </c>
      <c r="R20" s="9" t="s">
        <v>4</v>
      </c>
      <c r="S20" s="8">
        <v>2025.0</v>
      </c>
      <c r="T20" s="8">
        <v>2026.0</v>
      </c>
      <c r="U20" s="8" t="s">
        <v>3</v>
      </c>
      <c r="V20" s="9" t="s">
        <v>4</v>
      </c>
      <c r="W20" s="8">
        <v>2025.0</v>
      </c>
      <c r="X20" s="8">
        <v>2026.0</v>
      </c>
      <c r="Y20" s="8" t="s">
        <v>3</v>
      </c>
      <c r="Z20" s="9" t="s">
        <v>4</v>
      </c>
      <c r="AA20" s="4"/>
      <c r="AB20" s="4"/>
      <c r="AC20" s="4"/>
      <c r="AD20" s="4"/>
      <c r="AE20" s="4"/>
      <c r="AF20" s="4"/>
      <c r="AG20" s="4"/>
    </row>
    <row r="21">
      <c r="A21" s="46" t="s">
        <v>6</v>
      </c>
      <c r="B21" s="23"/>
      <c r="C21" s="47"/>
      <c r="D21" s="48">
        <f>Janvier!C4</f>
        <v>0</v>
      </c>
      <c r="E21" s="49"/>
      <c r="F21" s="50" t="str">
        <f t="shared" ref="F21:F33" si="4">D21/E21</f>
        <v>#DIV/0!</v>
      </c>
      <c r="G21" s="47"/>
      <c r="H21" s="48">
        <f>Janvier!D4</f>
        <v>8701.44</v>
      </c>
      <c r="I21" s="51">
        <v>13500.0</v>
      </c>
      <c r="J21" s="50">
        <f t="shared" ref="J21:J33" si="5">H21/I21</f>
        <v>0.6445511111</v>
      </c>
      <c r="K21" s="47"/>
      <c r="L21" s="48">
        <f>Janvier!E4</f>
        <v>0</v>
      </c>
      <c r="M21" s="49"/>
      <c r="N21" s="50" t="str">
        <f t="shared" ref="N21:N33" si="6">L21/M21</f>
        <v>#DIV/0!</v>
      </c>
      <c r="O21" s="47"/>
      <c r="P21" s="48">
        <f>Janvier!F4</f>
        <v>0</v>
      </c>
      <c r="Q21" s="49"/>
      <c r="R21" s="50" t="str">
        <f t="shared" ref="R21:R33" si="7">P21/Q21</f>
        <v>#DIV/0!</v>
      </c>
      <c r="S21" s="47"/>
      <c r="T21" s="48">
        <f>Janvier!G4</f>
        <v>0</v>
      </c>
      <c r="U21" s="48"/>
      <c r="V21" s="50" t="str">
        <f t="shared" ref="V21:V33" si="8">T21/U21</f>
        <v>#DIV/0!</v>
      </c>
      <c r="W21" s="47"/>
      <c r="X21" s="48" t="str">
        <f>Janvier!K4</f>
        <v/>
      </c>
      <c r="Y21" s="48"/>
      <c r="Z21" s="50" t="str">
        <f t="shared" ref="Z21:Z33" si="9">X21/Y21</f>
        <v>#DIV/0!</v>
      </c>
      <c r="AA21" s="4"/>
      <c r="AB21" s="4"/>
      <c r="AC21" s="4"/>
      <c r="AD21" s="4"/>
      <c r="AE21" s="4"/>
      <c r="AF21" s="4"/>
      <c r="AG21" s="4"/>
    </row>
    <row r="22">
      <c r="A22" s="46" t="s">
        <v>7</v>
      </c>
      <c r="B22" s="23"/>
      <c r="C22" s="48"/>
      <c r="D22" s="48">
        <f>'Février'!C4</f>
        <v>0</v>
      </c>
      <c r="E22" s="52"/>
      <c r="F22" s="50" t="str">
        <f t="shared" si="4"/>
        <v>#DIV/0!</v>
      </c>
      <c r="G22" s="48"/>
      <c r="H22" s="48">
        <f>'Février'!D4</f>
        <v>11067.07</v>
      </c>
      <c r="I22" s="51">
        <v>23250.0</v>
      </c>
      <c r="J22" s="50">
        <f t="shared" si="5"/>
        <v>0.4760030108</v>
      </c>
      <c r="K22" s="48"/>
      <c r="L22" s="48">
        <f>'Février'!E4</f>
        <v>0</v>
      </c>
      <c r="M22" s="52"/>
      <c r="N22" s="50" t="str">
        <f t="shared" si="6"/>
        <v>#DIV/0!</v>
      </c>
      <c r="O22" s="48"/>
      <c r="P22" s="48">
        <f>'Février'!F4</f>
        <v>0</v>
      </c>
      <c r="Q22" s="52"/>
      <c r="R22" s="50" t="str">
        <f t="shared" si="7"/>
        <v>#DIV/0!</v>
      </c>
      <c r="S22" s="48"/>
      <c r="T22" s="48">
        <f>'Février'!G4</f>
        <v>0</v>
      </c>
      <c r="U22" s="48"/>
      <c r="V22" s="50" t="str">
        <f t="shared" si="8"/>
        <v>#DIV/0!</v>
      </c>
      <c r="W22" s="48"/>
      <c r="X22" s="48" t="str">
        <f>'Février'!K4</f>
        <v/>
      </c>
      <c r="Y22" s="48"/>
      <c r="Z22" s="50" t="str">
        <f t="shared" si="9"/>
        <v>#DIV/0!</v>
      </c>
      <c r="AA22" s="4"/>
      <c r="AB22" s="4"/>
      <c r="AC22" s="4"/>
      <c r="AD22" s="4"/>
      <c r="AE22" s="4"/>
      <c r="AF22" s="4"/>
      <c r="AG22" s="4"/>
    </row>
    <row r="23">
      <c r="A23" s="46" t="s">
        <v>9</v>
      </c>
      <c r="B23" s="23"/>
      <c r="C23" s="48"/>
      <c r="D23" s="48">
        <f>Mars!C4</f>
        <v>0</v>
      </c>
      <c r="E23" s="52"/>
      <c r="F23" s="50" t="str">
        <f t="shared" si="4"/>
        <v>#DIV/0!</v>
      </c>
      <c r="G23" s="48"/>
      <c r="H23" s="48">
        <f>Mars!D4</f>
        <v>20331.61</v>
      </c>
      <c r="I23" s="51">
        <v>27000.0</v>
      </c>
      <c r="J23" s="50">
        <f t="shared" si="5"/>
        <v>0.7530225926</v>
      </c>
      <c r="K23" s="48"/>
      <c r="L23" s="48">
        <f>Mars!E4</f>
        <v>0</v>
      </c>
      <c r="M23" s="52"/>
      <c r="N23" s="50" t="str">
        <f t="shared" si="6"/>
        <v>#DIV/0!</v>
      </c>
      <c r="O23" s="48"/>
      <c r="P23" s="48">
        <f>Mars!F4</f>
        <v>0</v>
      </c>
      <c r="Q23" s="52"/>
      <c r="R23" s="50" t="str">
        <f t="shared" si="7"/>
        <v>#DIV/0!</v>
      </c>
      <c r="S23" s="48"/>
      <c r="T23" s="48">
        <f>Mars!G4</f>
        <v>0</v>
      </c>
      <c r="U23" s="48"/>
      <c r="V23" s="50" t="str">
        <f t="shared" si="8"/>
        <v>#DIV/0!</v>
      </c>
      <c r="W23" s="48"/>
      <c r="X23" s="48" t="str">
        <f>Mars!K4</f>
        <v/>
      </c>
      <c r="Y23" s="48"/>
      <c r="Z23" s="50" t="str">
        <f t="shared" si="9"/>
        <v>#DIV/0!</v>
      </c>
      <c r="AA23" s="4"/>
      <c r="AB23" s="4"/>
      <c r="AC23" s="4"/>
      <c r="AD23" s="4"/>
      <c r="AE23" s="4"/>
      <c r="AF23" s="4"/>
      <c r="AG23" s="4"/>
    </row>
    <row r="24">
      <c r="A24" s="46" t="s">
        <v>10</v>
      </c>
      <c r="B24" s="23"/>
      <c r="C24" s="48"/>
      <c r="D24" s="48">
        <f>Avril!C4</f>
        <v>0</v>
      </c>
      <c r="E24" s="52"/>
      <c r="F24" s="50" t="str">
        <f t="shared" si="4"/>
        <v>#DIV/0!</v>
      </c>
      <c r="G24" s="48"/>
      <c r="H24" s="48">
        <f>Avril!D4</f>
        <v>30324.44</v>
      </c>
      <c r="I24" s="51">
        <v>24750.0</v>
      </c>
      <c r="J24" s="50">
        <f t="shared" si="5"/>
        <v>1.225229899</v>
      </c>
      <c r="K24" s="48"/>
      <c r="L24" s="48">
        <f>Avril!E4</f>
        <v>0</v>
      </c>
      <c r="M24" s="52"/>
      <c r="N24" s="50" t="str">
        <f t="shared" si="6"/>
        <v>#DIV/0!</v>
      </c>
      <c r="O24" s="48"/>
      <c r="P24" s="48">
        <f>Avril!F4</f>
        <v>0</v>
      </c>
      <c r="Q24" s="52"/>
      <c r="R24" s="50" t="str">
        <f t="shared" si="7"/>
        <v>#DIV/0!</v>
      </c>
      <c r="S24" s="48"/>
      <c r="T24" s="48">
        <f>Avril!G4</f>
        <v>0</v>
      </c>
      <c r="U24" s="48"/>
      <c r="V24" s="50" t="str">
        <f t="shared" si="8"/>
        <v>#DIV/0!</v>
      </c>
      <c r="W24" s="48"/>
      <c r="X24" s="48" t="str">
        <f>Avril!K4</f>
        <v/>
      </c>
      <c r="Y24" s="48"/>
      <c r="Z24" s="50" t="str">
        <f t="shared" si="9"/>
        <v>#DIV/0!</v>
      </c>
      <c r="AA24" s="4"/>
      <c r="AB24" s="4"/>
      <c r="AC24" s="4"/>
      <c r="AD24" s="4"/>
      <c r="AE24" s="4"/>
      <c r="AF24" s="4"/>
      <c r="AG24" s="4"/>
    </row>
    <row r="25">
      <c r="A25" s="46" t="s">
        <v>11</v>
      </c>
      <c r="B25" s="23"/>
      <c r="C25" s="48"/>
      <c r="D25" s="48">
        <f>Mai!C4</f>
        <v>0</v>
      </c>
      <c r="E25" s="52"/>
      <c r="F25" s="50" t="str">
        <f t="shared" si="4"/>
        <v>#DIV/0!</v>
      </c>
      <c r="G25" s="48"/>
      <c r="H25" s="48">
        <f>Mai!D4</f>
        <v>0</v>
      </c>
      <c r="I25" s="51">
        <v>36000.0</v>
      </c>
      <c r="J25" s="50">
        <f t="shared" si="5"/>
        <v>0</v>
      </c>
      <c r="K25" s="48"/>
      <c r="L25" s="48">
        <f>Mai!E4</f>
        <v>0</v>
      </c>
      <c r="M25" s="52"/>
      <c r="N25" s="50" t="str">
        <f t="shared" si="6"/>
        <v>#DIV/0!</v>
      </c>
      <c r="O25" s="48"/>
      <c r="P25" s="48">
        <f>Mai!F4</f>
        <v>0</v>
      </c>
      <c r="Q25" s="52"/>
      <c r="R25" s="50" t="str">
        <f t="shared" si="7"/>
        <v>#DIV/0!</v>
      </c>
      <c r="S25" s="48"/>
      <c r="T25" s="48">
        <f>Mai!G4</f>
        <v>0</v>
      </c>
      <c r="U25" s="48"/>
      <c r="V25" s="50" t="str">
        <f t="shared" si="8"/>
        <v>#DIV/0!</v>
      </c>
      <c r="W25" s="48"/>
      <c r="X25" s="48" t="str">
        <f>Mai!K4</f>
        <v/>
      </c>
      <c r="Y25" s="48"/>
      <c r="Z25" s="50" t="str">
        <f t="shared" si="9"/>
        <v>#DIV/0!</v>
      </c>
      <c r="AA25" s="4"/>
      <c r="AB25" s="4"/>
      <c r="AC25" s="4"/>
      <c r="AD25" s="4"/>
      <c r="AE25" s="4"/>
      <c r="AF25" s="4"/>
      <c r="AG25" s="4"/>
    </row>
    <row r="26">
      <c r="A26" s="46" t="s">
        <v>12</v>
      </c>
      <c r="B26" s="23"/>
      <c r="C26" s="48"/>
      <c r="D26" s="48">
        <f>Juin!C4</f>
        <v>0</v>
      </c>
      <c r="E26" s="52"/>
      <c r="F26" s="50" t="str">
        <f t="shared" si="4"/>
        <v>#DIV/0!</v>
      </c>
      <c r="G26" s="48"/>
      <c r="H26" s="48">
        <f>Juin!D4</f>
        <v>0</v>
      </c>
      <c r="I26" s="51">
        <v>21000.0</v>
      </c>
      <c r="J26" s="50">
        <f t="shared" si="5"/>
        <v>0</v>
      </c>
      <c r="K26" s="48"/>
      <c r="L26" s="48">
        <f>Juin!E4</f>
        <v>0</v>
      </c>
      <c r="M26" s="52"/>
      <c r="N26" s="50" t="str">
        <f t="shared" si="6"/>
        <v>#DIV/0!</v>
      </c>
      <c r="O26" s="48"/>
      <c r="P26" s="48">
        <f>Juin!F4</f>
        <v>0</v>
      </c>
      <c r="Q26" s="52"/>
      <c r="R26" s="50" t="str">
        <f t="shared" si="7"/>
        <v>#DIV/0!</v>
      </c>
      <c r="S26" s="48"/>
      <c r="T26" s="48">
        <f>Juin!G4</f>
        <v>0</v>
      </c>
      <c r="U26" s="48"/>
      <c r="V26" s="50" t="str">
        <f t="shared" si="8"/>
        <v>#DIV/0!</v>
      </c>
      <c r="W26" s="48"/>
      <c r="X26" s="48" t="str">
        <f>Juin!K4</f>
        <v/>
      </c>
      <c r="Y26" s="48"/>
      <c r="Z26" s="50" t="str">
        <f t="shared" si="9"/>
        <v>#DIV/0!</v>
      </c>
      <c r="AA26" s="4"/>
      <c r="AB26" s="4"/>
      <c r="AC26" s="4"/>
      <c r="AD26" s="4"/>
      <c r="AE26" s="4"/>
      <c r="AF26" s="4"/>
      <c r="AG26" s="4"/>
    </row>
    <row r="27">
      <c r="A27" s="46" t="s">
        <v>13</v>
      </c>
      <c r="B27" s="23"/>
      <c r="C27" s="48"/>
      <c r="D27" s="48">
        <f>Juillet!C4</f>
        <v>0</v>
      </c>
      <c r="E27" s="52"/>
      <c r="F27" s="50" t="str">
        <f t="shared" si="4"/>
        <v>#DIV/0!</v>
      </c>
      <c r="G27" s="48"/>
      <c r="H27" s="48">
        <f>Juillet!D4</f>
        <v>0</v>
      </c>
      <c r="I27" s="51">
        <v>21750.0</v>
      </c>
      <c r="J27" s="50">
        <f t="shared" si="5"/>
        <v>0</v>
      </c>
      <c r="K27" s="48"/>
      <c r="L27" s="48">
        <f>Juillet!E4</f>
        <v>0</v>
      </c>
      <c r="M27" s="52"/>
      <c r="N27" s="50" t="str">
        <f t="shared" si="6"/>
        <v>#DIV/0!</v>
      </c>
      <c r="O27" s="48"/>
      <c r="P27" s="48">
        <f>Juillet!F4</f>
        <v>0</v>
      </c>
      <c r="Q27" s="52"/>
      <c r="R27" s="50" t="str">
        <f t="shared" si="7"/>
        <v>#DIV/0!</v>
      </c>
      <c r="S27" s="48"/>
      <c r="T27" s="48">
        <f>Juillet!G4</f>
        <v>0</v>
      </c>
      <c r="U27" s="48"/>
      <c r="V27" s="50" t="str">
        <f t="shared" si="8"/>
        <v>#DIV/0!</v>
      </c>
      <c r="W27" s="48"/>
      <c r="X27" s="48" t="str">
        <f>Juillet!K4</f>
        <v/>
      </c>
      <c r="Y27" s="48"/>
      <c r="Z27" s="50" t="str">
        <f t="shared" si="9"/>
        <v>#DIV/0!</v>
      </c>
      <c r="AA27" s="4"/>
      <c r="AB27" s="4"/>
      <c r="AC27" s="4"/>
      <c r="AD27" s="4"/>
      <c r="AE27" s="4"/>
      <c r="AF27" s="4"/>
      <c r="AG27" s="4"/>
    </row>
    <row r="28">
      <c r="A28" s="46" t="s">
        <v>14</v>
      </c>
      <c r="B28" s="23"/>
      <c r="C28" s="48"/>
      <c r="D28" s="48">
        <f>'Août'!C4</f>
        <v>0</v>
      </c>
      <c r="E28" s="52"/>
      <c r="F28" s="50" t="str">
        <f t="shared" si="4"/>
        <v>#DIV/0!</v>
      </c>
      <c r="G28" s="48"/>
      <c r="H28" s="48">
        <f>'Août'!D4</f>
        <v>0</v>
      </c>
      <c r="I28" s="51">
        <v>24000.0</v>
      </c>
      <c r="J28" s="50">
        <f t="shared" si="5"/>
        <v>0</v>
      </c>
      <c r="K28" s="48"/>
      <c r="L28" s="48">
        <f>'Août'!E4</f>
        <v>0</v>
      </c>
      <c r="M28" s="52"/>
      <c r="N28" s="50" t="str">
        <f t="shared" si="6"/>
        <v>#DIV/0!</v>
      </c>
      <c r="O28" s="48"/>
      <c r="P28" s="48">
        <f>'Août'!F4</f>
        <v>0</v>
      </c>
      <c r="Q28" s="52"/>
      <c r="R28" s="50" t="str">
        <f t="shared" si="7"/>
        <v>#DIV/0!</v>
      </c>
      <c r="S28" s="48"/>
      <c r="T28" s="48">
        <f>'Août'!G4</f>
        <v>0</v>
      </c>
      <c r="U28" s="48"/>
      <c r="V28" s="50" t="str">
        <f t="shared" si="8"/>
        <v>#DIV/0!</v>
      </c>
      <c r="W28" s="48"/>
      <c r="X28" s="48" t="str">
        <f>'Août'!K4</f>
        <v/>
      </c>
      <c r="Y28" s="48"/>
      <c r="Z28" s="50" t="str">
        <f t="shared" si="9"/>
        <v>#DIV/0!</v>
      </c>
      <c r="AA28" s="4"/>
      <c r="AB28" s="4"/>
      <c r="AC28" s="4"/>
      <c r="AD28" s="4"/>
      <c r="AE28" s="4"/>
      <c r="AF28" s="4"/>
      <c r="AG28" s="4"/>
    </row>
    <row r="29">
      <c r="A29" s="46" t="s">
        <v>15</v>
      </c>
      <c r="B29" s="23"/>
      <c r="C29" s="48"/>
      <c r="D29" s="48">
        <f>Septembre!C4</f>
        <v>0</v>
      </c>
      <c r="E29" s="52"/>
      <c r="F29" s="50" t="str">
        <f t="shared" si="4"/>
        <v>#DIV/0!</v>
      </c>
      <c r="G29" s="48"/>
      <c r="H29" s="48">
        <f>Septembre!D4</f>
        <v>0</v>
      </c>
      <c r="I29" s="51">
        <v>33000.0</v>
      </c>
      <c r="J29" s="50">
        <f t="shared" si="5"/>
        <v>0</v>
      </c>
      <c r="K29" s="48"/>
      <c r="L29" s="48">
        <f>Septembre!E4</f>
        <v>0</v>
      </c>
      <c r="M29" s="52"/>
      <c r="N29" s="50" t="str">
        <f t="shared" si="6"/>
        <v>#DIV/0!</v>
      </c>
      <c r="O29" s="48"/>
      <c r="P29" s="48">
        <f>Septembre!F4</f>
        <v>0</v>
      </c>
      <c r="Q29" s="52"/>
      <c r="R29" s="50" t="str">
        <f t="shared" si="7"/>
        <v>#DIV/0!</v>
      </c>
      <c r="S29" s="48"/>
      <c r="T29" s="48">
        <f>Septembre!G4</f>
        <v>0</v>
      </c>
      <c r="U29" s="48"/>
      <c r="V29" s="50" t="str">
        <f t="shared" si="8"/>
        <v>#DIV/0!</v>
      </c>
      <c r="W29" s="48"/>
      <c r="X29" s="48" t="str">
        <f>Septembre!K4</f>
        <v/>
      </c>
      <c r="Y29" s="48"/>
      <c r="Z29" s="50" t="str">
        <f t="shared" si="9"/>
        <v>#DIV/0!</v>
      </c>
      <c r="AA29" s="4"/>
      <c r="AB29" s="4"/>
      <c r="AC29" s="4"/>
      <c r="AD29" s="4"/>
      <c r="AE29" s="4"/>
      <c r="AF29" s="4"/>
      <c r="AG29" s="4"/>
    </row>
    <row r="30">
      <c r="A30" s="46" t="s">
        <v>16</v>
      </c>
      <c r="B30" s="23"/>
      <c r="C30" s="48"/>
      <c r="D30" s="48">
        <f>Octobre!C4</f>
        <v>0</v>
      </c>
      <c r="E30" s="49"/>
      <c r="F30" s="50" t="str">
        <f t="shared" si="4"/>
        <v>#DIV/0!</v>
      </c>
      <c r="G30" s="48"/>
      <c r="H30" s="48">
        <f>Octobre!D4</f>
        <v>0</v>
      </c>
      <c r="I30" s="51">
        <v>34500.0</v>
      </c>
      <c r="J30" s="50">
        <f t="shared" si="5"/>
        <v>0</v>
      </c>
      <c r="K30" s="48"/>
      <c r="L30" s="48">
        <f>Octobre!E4</f>
        <v>0</v>
      </c>
      <c r="M30" s="49"/>
      <c r="N30" s="50" t="str">
        <f t="shared" si="6"/>
        <v>#DIV/0!</v>
      </c>
      <c r="O30" s="48"/>
      <c r="P30" s="48">
        <f>Octobre!F4</f>
        <v>0</v>
      </c>
      <c r="Q30" s="49"/>
      <c r="R30" s="50" t="str">
        <f t="shared" si="7"/>
        <v>#DIV/0!</v>
      </c>
      <c r="S30" s="48"/>
      <c r="T30" s="48">
        <f>Octobre!G4</f>
        <v>0</v>
      </c>
      <c r="U30" s="48"/>
      <c r="V30" s="50" t="str">
        <f t="shared" si="8"/>
        <v>#DIV/0!</v>
      </c>
      <c r="W30" s="48"/>
      <c r="X30" s="48" t="str">
        <f>Octobre!K4</f>
        <v/>
      </c>
      <c r="Y30" s="48"/>
      <c r="Z30" s="50" t="str">
        <f t="shared" si="9"/>
        <v>#DIV/0!</v>
      </c>
      <c r="AA30" s="4"/>
      <c r="AB30" s="4"/>
      <c r="AC30" s="4"/>
      <c r="AD30" s="4"/>
      <c r="AE30" s="4"/>
      <c r="AF30" s="4"/>
      <c r="AG30" s="4"/>
    </row>
    <row r="31">
      <c r="A31" s="46" t="s">
        <v>17</v>
      </c>
      <c r="B31" s="23"/>
      <c r="C31" s="48"/>
      <c r="D31" s="48">
        <f>Novembre!C4</f>
        <v>0</v>
      </c>
      <c r="E31" s="49"/>
      <c r="F31" s="50" t="str">
        <f t="shared" si="4"/>
        <v>#DIV/0!</v>
      </c>
      <c r="G31" s="48"/>
      <c r="H31" s="48">
        <f>Novembre!D4</f>
        <v>0</v>
      </c>
      <c r="I31" s="51">
        <v>30000.0</v>
      </c>
      <c r="J31" s="50">
        <f t="shared" si="5"/>
        <v>0</v>
      </c>
      <c r="K31" s="48"/>
      <c r="L31" s="48">
        <f>Novembre!E4</f>
        <v>0</v>
      </c>
      <c r="M31" s="49"/>
      <c r="N31" s="50" t="str">
        <f t="shared" si="6"/>
        <v>#DIV/0!</v>
      </c>
      <c r="O31" s="48"/>
      <c r="P31" s="48">
        <f>Novembre!F4</f>
        <v>0</v>
      </c>
      <c r="Q31" s="49"/>
      <c r="R31" s="50" t="str">
        <f t="shared" si="7"/>
        <v>#DIV/0!</v>
      </c>
      <c r="S31" s="48"/>
      <c r="T31" s="48">
        <f>Novembre!G4</f>
        <v>0</v>
      </c>
      <c r="U31" s="48"/>
      <c r="V31" s="50" t="str">
        <f t="shared" si="8"/>
        <v>#DIV/0!</v>
      </c>
      <c r="W31" s="48"/>
      <c r="X31" s="48" t="str">
        <f>Novembre!K4</f>
        <v/>
      </c>
      <c r="Y31" s="48"/>
      <c r="Z31" s="50" t="str">
        <f t="shared" si="9"/>
        <v>#DIV/0!</v>
      </c>
      <c r="AA31" s="4"/>
      <c r="AB31" s="4"/>
      <c r="AC31" s="4"/>
      <c r="AD31" s="4"/>
      <c r="AE31" s="4"/>
      <c r="AF31" s="4"/>
      <c r="AG31" s="4"/>
    </row>
    <row r="32">
      <c r="A32" s="46" t="s">
        <v>18</v>
      </c>
      <c r="B32" s="23"/>
      <c r="C32" s="48"/>
      <c r="D32" s="48">
        <f>'Décembre'!C4</f>
        <v>0</v>
      </c>
      <c r="E32" s="49"/>
      <c r="F32" s="50" t="str">
        <f t="shared" si="4"/>
        <v>#DIV/0!</v>
      </c>
      <c r="G32" s="48"/>
      <c r="H32" s="48">
        <f>'Décembre'!D4</f>
        <v>0</v>
      </c>
      <c r="I32" s="51">
        <v>11250.0</v>
      </c>
      <c r="J32" s="50">
        <f t="shared" si="5"/>
        <v>0</v>
      </c>
      <c r="K32" s="48"/>
      <c r="L32" s="48">
        <f>'Décembre'!E4</f>
        <v>0</v>
      </c>
      <c r="M32" s="49"/>
      <c r="N32" s="50" t="str">
        <f t="shared" si="6"/>
        <v>#DIV/0!</v>
      </c>
      <c r="O32" s="48"/>
      <c r="P32" s="48">
        <f>'Décembre'!F4</f>
        <v>0</v>
      </c>
      <c r="Q32" s="49"/>
      <c r="R32" s="50" t="str">
        <f t="shared" si="7"/>
        <v>#DIV/0!</v>
      </c>
      <c r="S32" s="48"/>
      <c r="T32" s="48">
        <f>'Décembre'!G4</f>
        <v>0</v>
      </c>
      <c r="U32" s="48"/>
      <c r="V32" s="50" t="str">
        <f t="shared" si="8"/>
        <v>#DIV/0!</v>
      </c>
      <c r="W32" s="48"/>
      <c r="X32" s="48" t="str">
        <f>'Décembre'!K4</f>
        <v/>
      </c>
      <c r="Y32" s="48"/>
      <c r="Z32" s="50" t="str">
        <f t="shared" si="9"/>
        <v>#DIV/0!</v>
      </c>
      <c r="AA32" s="4"/>
      <c r="AB32" s="4"/>
      <c r="AC32" s="4"/>
      <c r="AD32" s="4"/>
      <c r="AE32" s="4"/>
      <c r="AF32" s="4"/>
      <c r="AG32" s="4"/>
    </row>
    <row r="33">
      <c r="A33" s="53" t="s">
        <v>1</v>
      </c>
      <c r="B33" s="23"/>
      <c r="C33" s="54">
        <f t="shared" ref="C33:E33" si="10">SUM(C21:C32)</f>
        <v>0</v>
      </c>
      <c r="D33" s="54">
        <f t="shared" si="10"/>
        <v>0</v>
      </c>
      <c r="E33" s="54">
        <f t="shared" si="10"/>
        <v>0</v>
      </c>
      <c r="F33" s="55" t="str">
        <f t="shared" si="4"/>
        <v>#DIV/0!</v>
      </c>
      <c r="G33" s="54">
        <f t="shared" ref="G33:I33" si="11">SUM(G21:G32)</f>
        <v>0</v>
      </c>
      <c r="H33" s="54">
        <f t="shared" si="11"/>
        <v>70424.56</v>
      </c>
      <c r="I33" s="54">
        <f t="shared" si="11"/>
        <v>300000</v>
      </c>
      <c r="J33" s="55">
        <f t="shared" si="5"/>
        <v>0.2347485333</v>
      </c>
      <c r="K33" s="54">
        <f t="shared" ref="K33:M33" si="12">SUM(K21:K32)</f>
        <v>0</v>
      </c>
      <c r="L33" s="54">
        <f t="shared" si="12"/>
        <v>0</v>
      </c>
      <c r="M33" s="54">
        <f t="shared" si="12"/>
        <v>0</v>
      </c>
      <c r="N33" s="55" t="str">
        <f t="shared" si="6"/>
        <v>#DIV/0!</v>
      </c>
      <c r="O33" s="54">
        <f t="shared" ref="O33:Q33" si="13">SUM(O21:O32)</f>
        <v>0</v>
      </c>
      <c r="P33" s="54">
        <f t="shared" si="13"/>
        <v>0</v>
      </c>
      <c r="Q33" s="54">
        <f t="shared" si="13"/>
        <v>0</v>
      </c>
      <c r="R33" s="55" t="str">
        <f t="shared" si="7"/>
        <v>#DIV/0!</v>
      </c>
      <c r="S33" s="54">
        <f t="shared" ref="S33:U33" si="14">SUM(S21:S32)</f>
        <v>0</v>
      </c>
      <c r="T33" s="54">
        <f t="shared" si="14"/>
        <v>0</v>
      </c>
      <c r="U33" s="54">
        <f t="shared" si="14"/>
        <v>0</v>
      </c>
      <c r="V33" s="55" t="str">
        <f t="shared" si="8"/>
        <v>#DIV/0!</v>
      </c>
      <c r="W33" s="54">
        <f t="shared" ref="W33:Y33" si="15">SUM(W21:W32)</f>
        <v>0</v>
      </c>
      <c r="X33" s="54">
        <f t="shared" si="15"/>
        <v>0</v>
      </c>
      <c r="Y33" s="54">
        <f t="shared" si="15"/>
        <v>0</v>
      </c>
      <c r="Z33" s="55" t="str">
        <f t="shared" si="9"/>
        <v>#DIV/0!</v>
      </c>
      <c r="AA33" s="56"/>
      <c r="AB33" s="56"/>
      <c r="AC33" s="56"/>
      <c r="AD33" s="56"/>
      <c r="AE33" s="56"/>
      <c r="AF33" s="56"/>
      <c r="AG33" s="56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11"/>
      <c r="F36" s="57"/>
      <c r="G36" s="58"/>
      <c r="H36" s="5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59"/>
      <c r="F37" s="57"/>
      <c r="G37" s="58"/>
      <c r="H37" s="5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59"/>
      <c r="F38" s="57"/>
      <c r="G38" s="60"/>
      <c r="H38" s="5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4"/>
      <c r="C39" s="4"/>
      <c r="D39" s="4"/>
      <c r="E39" s="59"/>
      <c r="F39" s="57"/>
      <c r="G39" s="58"/>
      <c r="H39" s="5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59"/>
      <c r="F40" s="57"/>
      <c r="G40" s="60"/>
      <c r="H40" s="5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59"/>
      <c r="F41" s="57"/>
      <c r="G41" s="60"/>
      <c r="H41" s="5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59"/>
      <c r="F42" s="57"/>
      <c r="G42" s="60"/>
      <c r="H42" s="5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59"/>
      <c r="F43" s="57"/>
      <c r="G43" s="60"/>
      <c r="H43" s="5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59"/>
      <c r="F44" s="57"/>
      <c r="G44" s="58"/>
      <c r="H44" s="5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59"/>
      <c r="F45" s="57"/>
      <c r="G45" s="60"/>
      <c r="H45" s="5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59"/>
      <c r="F46" s="57"/>
      <c r="G46" s="60"/>
      <c r="H46" s="5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59"/>
      <c r="F47" s="57"/>
      <c r="G47" s="60"/>
      <c r="H47" s="5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59"/>
      <c r="F48" s="57"/>
      <c r="G48" s="60"/>
      <c r="H48" s="59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</sheetData>
  <mergeCells count="57">
    <mergeCell ref="A27:B27"/>
    <mergeCell ref="A28:B28"/>
    <mergeCell ref="A29:B29"/>
    <mergeCell ref="A30:B30"/>
    <mergeCell ref="A31:B31"/>
    <mergeCell ref="A32:B32"/>
    <mergeCell ref="A33:B33"/>
    <mergeCell ref="A20:B20"/>
    <mergeCell ref="A21:B21"/>
    <mergeCell ref="A22:B22"/>
    <mergeCell ref="A23:B23"/>
    <mergeCell ref="A24:B24"/>
    <mergeCell ref="A25:B25"/>
    <mergeCell ref="A26:B26"/>
    <mergeCell ref="A1:G1"/>
    <mergeCell ref="A2:B2"/>
    <mergeCell ref="C2:G2"/>
    <mergeCell ref="A3:B3"/>
    <mergeCell ref="K3:K4"/>
    <mergeCell ref="L3:N4"/>
    <mergeCell ref="AD4:AE4"/>
    <mergeCell ref="A4:B4"/>
    <mergeCell ref="A5:B5"/>
    <mergeCell ref="K5:K6"/>
    <mergeCell ref="L5:N6"/>
    <mergeCell ref="A6:B6"/>
    <mergeCell ref="K7:K8"/>
    <mergeCell ref="L7:N8"/>
    <mergeCell ref="AD12:AE12"/>
    <mergeCell ref="AD13:AE13"/>
    <mergeCell ref="AD14:AE14"/>
    <mergeCell ref="AD15:AE15"/>
    <mergeCell ref="AD16:AE16"/>
    <mergeCell ref="AD17:AE17"/>
    <mergeCell ref="AD5:AE5"/>
    <mergeCell ref="AD6:AE6"/>
    <mergeCell ref="AD7:AE7"/>
    <mergeCell ref="AD8:AE8"/>
    <mergeCell ref="AD9:AE9"/>
    <mergeCell ref="AD10:AE10"/>
    <mergeCell ref="AD11:AE11"/>
    <mergeCell ref="S19:V19"/>
    <mergeCell ref="W19:Z19"/>
    <mergeCell ref="A14:B14"/>
    <mergeCell ref="A15:B15"/>
    <mergeCell ref="A16:B16"/>
    <mergeCell ref="C19:F19"/>
    <mergeCell ref="G19:J19"/>
    <mergeCell ref="K19:N19"/>
    <mergeCell ref="O19:R19"/>
    <mergeCell ref="A7:B7"/>
    <mergeCell ref="A8:B8"/>
    <mergeCell ref="A9:B9"/>
    <mergeCell ref="A10:B10"/>
    <mergeCell ref="A11:B11"/>
    <mergeCell ref="A12:B12"/>
    <mergeCell ref="A13:B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870.144</v>
      </c>
      <c r="C2" s="70">
        <f>SUMIF(F8:F960,"MÉDIA MULTI-ANNONCEURS",G8:G960)</f>
        <v>0</v>
      </c>
      <c r="D2" s="71">
        <f>SUMIF(F8:F960,"PROMOTIONNEL",G8:G960)</f>
        <v>870.144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8701.44</v>
      </c>
      <c r="C4" s="70">
        <f>SUMIF(F8:F960,"MÉDIA MULTI-ANNONCEURS",B8:B960)</f>
        <v>0</v>
      </c>
      <c r="D4" s="71">
        <f>SUMIF(F8:F960,"PROMOTIONNEL",B8:B960)</f>
        <v>8701.44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 t="s">
        <v>36</v>
      </c>
      <c r="B8" s="80">
        <v>912.94</v>
      </c>
      <c r="C8" s="81" t="s">
        <v>37</v>
      </c>
      <c r="D8" s="82">
        <v>46031.0</v>
      </c>
      <c r="E8" s="83" t="s">
        <v>38</v>
      </c>
      <c r="F8" s="79" t="s">
        <v>20</v>
      </c>
      <c r="G8" s="68">
        <f t="shared" ref="G8:G166" si="1">B8*0.1</f>
        <v>91.294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 t="s">
        <v>36</v>
      </c>
      <c r="B9" s="80">
        <v>60.98</v>
      </c>
      <c r="C9" s="81" t="s">
        <v>39</v>
      </c>
      <c r="D9" s="82">
        <v>46031.0</v>
      </c>
      <c r="E9" s="83" t="s">
        <v>38</v>
      </c>
      <c r="F9" s="79" t="s">
        <v>20</v>
      </c>
      <c r="G9" s="68">
        <f t="shared" si="1"/>
        <v>6.098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 t="s">
        <v>40</v>
      </c>
      <c r="B10" s="80">
        <v>2005.07</v>
      </c>
      <c r="C10" s="81" t="s">
        <v>41</v>
      </c>
      <c r="D10" s="82">
        <v>46031.0</v>
      </c>
      <c r="E10" s="83" t="s">
        <v>38</v>
      </c>
      <c r="F10" s="79" t="s">
        <v>20</v>
      </c>
      <c r="G10" s="68">
        <f t="shared" si="1"/>
        <v>200.507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 t="s">
        <v>42</v>
      </c>
      <c r="B11" s="80">
        <v>60.0</v>
      </c>
      <c r="C11" s="81" t="s">
        <v>43</v>
      </c>
      <c r="D11" s="82">
        <v>46035.0</v>
      </c>
      <c r="E11" s="83" t="s">
        <v>38</v>
      </c>
      <c r="F11" s="79" t="s">
        <v>20</v>
      </c>
      <c r="G11" s="68">
        <f t="shared" si="1"/>
        <v>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 t="s">
        <v>44</v>
      </c>
      <c r="B12" s="80">
        <v>744.59</v>
      </c>
      <c r="C12" s="81" t="s">
        <v>45</v>
      </c>
      <c r="D12" s="82">
        <v>46034.0</v>
      </c>
      <c r="E12" s="83" t="s">
        <v>38</v>
      </c>
      <c r="F12" s="79" t="s">
        <v>20</v>
      </c>
      <c r="G12" s="68">
        <f t="shared" si="1"/>
        <v>74.459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 t="s">
        <v>46</v>
      </c>
      <c r="B13" s="80">
        <v>1615.0</v>
      </c>
      <c r="C13" s="81" t="s">
        <v>47</v>
      </c>
      <c r="D13" s="82">
        <v>46052.0</v>
      </c>
      <c r="E13" s="83" t="s">
        <v>38</v>
      </c>
      <c r="F13" s="79" t="s">
        <v>20</v>
      </c>
      <c r="G13" s="68">
        <f t="shared" si="1"/>
        <v>161.5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 t="s">
        <v>48</v>
      </c>
      <c r="B14" s="80">
        <v>2025.0</v>
      </c>
      <c r="C14" s="81" t="s">
        <v>49</v>
      </c>
      <c r="D14" s="82">
        <v>46050.0</v>
      </c>
      <c r="E14" s="83" t="s">
        <v>38</v>
      </c>
      <c r="F14" s="79" t="s">
        <v>20</v>
      </c>
      <c r="G14" s="68">
        <f t="shared" si="1"/>
        <v>202.5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 t="s">
        <v>50</v>
      </c>
      <c r="B15" s="80">
        <v>1277.86</v>
      </c>
      <c r="C15" s="81" t="s">
        <v>51</v>
      </c>
      <c r="D15" s="82">
        <v>46050.0</v>
      </c>
      <c r="E15" s="83" t="s">
        <v>38</v>
      </c>
      <c r="F15" s="79" t="s">
        <v>20</v>
      </c>
      <c r="G15" s="68">
        <f t="shared" si="1"/>
        <v>127.786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79"/>
      <c r="B16" s="80"/>
      <c r="C16" s="81"/>
      <c r="D16" s="82"/>
      <c r="E16" s="83"/>
      <c r="F16" s="79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79"/>
      <c r="B17" s="80"/>
      <c r="C17" s="81"/>
      <c r="D17" s="82"/>
      <c r="E17" s="83"/>
      <c r="F17" s="79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79"/>
      <c r="B18" s="80"/>
      <c r="C18" s="81"/>
      <c r="D18" s="82"/>
      <c r="E18" s="83"/>
      <c r="F18" s="79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84"/>
      <c r="B19" s="85"/>
      <c r="C19" s="86"/>
      <c r="D19" s="87"/>
      <c r="E19" s="88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89"/>
      <c r="B20" s="85"/>
      <c r="C20" s="86"/>
      <c r="D20" s="87"/>
      <c r="E20" s="88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89"/>
      <c r="B21" s="85"/>
      <c r="C21" s="86"/>
      <c r="D21" s="87"/>
      <c r="E21" s="88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84"/>
      <c r="B22" s="85"/>
      <c r="C22" s="86"/>
      <c r="D22" s="87"/>
      <c r="E22" s="88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89"/>
      <c r="B23" s="85"/>
      <c r="C23" s="25"/>
      <c r="D23" s="90"/>
      <c r="E23" s="88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89"/>
      <c r="B24" s="85"/>
      <c r="C24" s="25"/>
      <c r="D24" s="90"/>
      <c r="E24" s="88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89"/>
      <c r="B25" s="85"/>
      <c r="C25" s="25"/>
      <c r="D25" s="90"/>
      <c r="E25" s="88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89"/>
      <c r="B26" s="25"/>
      <c r="C26" s="25"/>
      <c r="D26" s="90"/>
      <c r="E26" s="88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89"/>
      <c r="B27" s="25"/>
      <c r="C27" s="25"/>
      <c r="D27" s="90"/>
      <c r="E27" s="88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89"/>
      <c r="B28" s="25"/>
      <c r="C28" s="25"/>
      <c r="D28" s="90"/>
      <c r="E28" s="88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0"/>
      <c r="B29" s="25"/>
      <c r="C29" s="25"/>
      <c r="D29" s="25"/>
      <c r="E29" s="88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0"/>
      <c r="B30" s="25"/>
      <c r="C30" s="25"/>
      <c r="D30" s="25"/>
      <c r="E30" s="88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0"/>
      <c r="B31" s="25"/>
      <c r="C31" s="25"/>
      <c r="D31" s="25"/>
      <c r="E31" s="88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0"/>
      <c r="B32" s="25"/>
      <c r="C32" s="25"/>
      <c r="D32" s="25"/>
      <c r="E32" s="88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0"/>
      <c r="B33" s="25"/>
      <c r="C33" s="25"/>
      <c r="D33" s="25"/>
      <c r="E33" s="88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0"/>
      <c r="B34" s="25"/>
      <c r="C34" s="25"/>
      <c r="D34" s="25"/>
      <c r="E34" s="88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0"/>
      <c r="B35" s="25"/>
      <c r="C35" s="25"/>
      <c r="D35" s="25"/>
      <c r="E35" s="88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0"/>
      <c r="B36" s="25"/>
      <c r="C36" s="25"/>
      <c r="D36" s="25"/>
      <c r="E36" s="88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90"/>
      <c r="B37" s="25"/>
      <c r="C37" s="25"/>
      <c r="D37" s="25"/>
      <c r="E37" s="88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8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8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8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8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8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8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8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8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8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8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8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8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8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8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8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8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8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8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8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8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8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8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8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8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8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8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8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8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8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8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8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8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8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8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8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8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8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8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8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8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8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8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8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8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8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8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8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8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8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8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8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8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8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8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8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8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8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8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8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8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8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8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8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8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8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8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8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8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8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8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8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8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8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8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8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8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8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8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8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8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8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8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8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8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8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8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8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8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8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8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8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8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8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8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8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8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8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8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8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8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8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8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8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8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8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8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8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91"/>
      <c r="V971" s="91"/>
      <c r="W971" s="91"/>
      <c r="X971" s="91"/>
      <c r="Y971" s="91"/>
      <c r="Z971" s="91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91"/>
      <c r="V972" s="91"/>
      <c r="W972" s="91"/>
      <c r="X972" s="91"/>
      <c r="Y972" s="91"/>
      <c r="Z972" s="91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91"/>
      <c r="V973" s="91"/>
      <c r="W973" s="91"/>
      <c r="X973" s="91"/>
      <c r="Y973" s="91"/>
      <c r="Z973" s="91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91"/>
      <c r="V974" s="91"/>
      <c r="W974" s="91"/>
      <c r="X974" s="91"/>
      <c r="Y974" s="91"/>
      <c r="Z974" s="91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91"/>
      <c r="V975" s="91"/>
      <c r="W975" s="91"/>
      <c r="X975" s="91"/>
      <c r="Y975" s="91"/>
      <c r="Z975" s="91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91"/>
      <c r="V976" s="91"/>
      <c r="W976" s="91"/>
      <c r="X976" s="91"/>
      <c r="Y976" s="91"/>
      <c r="Z976" s="91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91"/>
      <c r="V977" s="91"/>
      <c r="W977" s="91"/>
      <c r="X977" s="91"/>
      <c r="Y977" s="91"/>
      <c r="Z977" s="91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91"/>
      <c r="V978" s="91"/>
      <c r="W978" s="91"/>
      <c r="X978" s="91"/>
      <c r="Y978" s="91"/>
      <c r="Z978" s="91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91"/>
      <c r="V979" s="91"/>
      <c r="W979" s="91"/>
      <c r="X979" s="91"/>
      <c r="Y979" s="91"/>
      <c r="Z979" s="91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91"/>
      <c r="V980" s="91"/>
      <c r="W980" s="91"/>
      <c r="X980" s="91"/>
      <c r="Y980" s="91"/>
      <c r="Z980" s="91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91"/>
      <c r="V981" s="91"/>
      <c r="W981" s="91"/>
      <c r="X981" s="91"/>
      <c r="Y981" s="91"/>
      <c r="Z981" s="91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91"/>
      <c r="V982" s="91"/>
      <c r="W982" s="91"/>
      <c r="X982" s="91"/>
      <c r="Y982" s="91"/>
      <c r="Z982" s="91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91"/>
      <c r="V983" s="91"/>
      <c r="W983" s="91"/>
      <c r="X983" s="91"/>
      <c r="Y983" s="91"/>
      <c r="Z983" s="91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91"/>
      <c r="V984" s="91"/>
      <c r="W984" s="91"/>
      <c r="X984" s="91"/>
      <c r="Y984" s="91"/>
      <c r="Z984" s="91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91"/>
      <c r="V985" s="91"/>
      <c r="W985" s="91"/>
      <c r="X985" s="91"/>
      <c r="Y985" s="91"/>
      <c r="Z985" s="91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91"/>
      <c r="V986" s="91"/>
      <c r="W986" s="91"/>
      <c r="X986" s="91"/>
      <c r="Y986" s="91"/>
      <c r="Z986" s="91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91"/>
      <c r="V987" s="91"/>
      <c r="W987" s="91"/>
      <c r="X987" s="91"/>
      <c r="Y987" s="91"/>
      <c r="Z987" s="91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91"/>
      <c r="V988" s="91"/>
      <c r="W988" s="91"/>
      <c r="X988" s="91"/>
      <c r="Y988" s="91"/>
      <c r="Z988" s="91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91"/>
      <c r="V989" s="91"/>
      <c r="W989" s="91"/>
      <c r="X989" s="91"/>
      <c r="Y989" s="91"/>
      <c r="Z989" s="91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91"/>
      <c r="V990" s="91"/>
      <c r="W990" s="91"/>
      <c r="X990" s="91"/>
      <c r="Y990" s="91"/>
      <c r="Z990" s="91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91"/>
      <c r="V991" s="91"/>
      <c r="W991" s="91"/>
      <c r="X991" s="91"/>
      <c r="Y991" s="91"/>
      <c r="Z991" s="91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91"/>
      <c r="V992" s="91"/>
      <c r="W992" s="91"/>
      <c r="X992" s="91"/>
      <c r="Y992" s="91"/>
      <c r="Z992" s="91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91"/>
      <c r="V993" s="91"/>
      <c r="W993" s="91"/>
      <c r="X993" s="91"/>
      <c r="Y993" s="91"/>
      <c r="Z993" s="91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91"/>
      <c r="V994" s="91"/>
      <c r="W994" s="91"/>
      <c r="X994" s="91"/>
      <c r="Y994" s="91"/>
      <c r="Z994" s="9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1106.707</v>
      </c>
      <c r="C2" s="70">
        <f>SUMIF(F8:F960,"MÉDIA MULTI-ANNONCEURS",G8:G960)</f>
        <v>0</v>
      </c>
      <c r="D2" s="71">
        <f>SUMIF(F8:F960,"PROMOTIONNEL",G8:G960)</f>
        <v>1106.707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11067.07</v>
      </c>
      <c r="C4" s="70">
        <f>SUMIF(F8:F960,"MÉDIA MULTI-ANNONCEURS",B8:B960)</f>
        <v>0</v>
      </c>
      <c r="D4" s="71">
        <f>SUMIF(F8:F960,"PROMOTIONNEL",B8:B960)</f>
        <v>11067.07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 t="s">
        <v>52</v>
      </c>
      <c r="B8" s="80">
        <v>1728.93</v>
      </c>
      <c r="C8" s="81" t="s">
        <v>53</v>
      </c>
      <c r="D8" s="82">
        <v>46066.0</v>
      </c>
      <c r="E8" s="83" t="s">
        <v>38</v>
      </c>
      <c r="F8" s="79" t="s">
        <v>20</v>
      </c>
      <c r="G8" s="68">
        <f t="shared" ref="G8:G166" si="1">B8*0.1</f>
        <v>172.893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 t="s">
        <v>54</v>
      </c>
      <c r="B9" s="80">
        <v>5375.0</v>
      </c>
      <c r="C9" s="81" t="s">
        <v>55</v>
      </c>
      <c r="D9" s="82">
        <v>46062.0</v>
      </c>
      <c r="E9" s="83" t="s">
        <v>38</v>
      </c>
      <c r="F9" s="79" t="s">
        <v>20</v>
      </c>
      <c r="G9" s="68">
        <f t="shared" si="1"/>
        <v>537.5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 t="s">
        <v>42</v>
      </c>
      <c r="B10" s="80">
        <v>-60.0</v>
      </c>
      <c r="C10" s="81" t="s">
        <v>56</v>
      </c>
      <c r="D10" s="82">
        <v>46063.0</v>
      </c>
      <c r="E10" s="83" t="s">
        <v>38</v>
      </c>
      <c r="F10" s="79" t="s">
        <v>20</v>
      </c>
      <c r="G10" s="68">
        <f t="shared" si="1"/>
        <v>-6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 t="s">
        <v>42</v>
      </c>
      <c r="B11" s="80">
        <v>-1063.74</v>
      </c>
      <c r="C11" s="81" t="s">
        <v>57</v>
      </c>
      <c r="D11" s="82">
        <v>46063.0</v>
      </c>
      <c r="E11" s="83" t="s">
        <v>38</v>
      </c>
      <c r="F11" s="79" t="s">
        <v>20</v>
      </c>
      <c r="G11" s="68">
        <f t="shared" si="1"/>
        <v>-106.374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 t="s">
        <v>52</v>
      </c>
      <c r="B12" s="80">
        <v>63.26</v>
      </c>
      <c r="C12" s="81" t="s">
        <v>58</v>
      </c>
      <c r="D12" s="82">
        <v>46071.0</v>
      </c>
      <c r="E12" s="83" t="s">
        <v>38</v>
      </c>
      <c r="F12" s="79" t="s">
        <v>20</v>
      </c>
      <c r="G12" s="68">
        <f t="shared" si="1"/>
        <v>6.326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 t="s">
        <v>59</v>
      </c>
      <c r="B13" s="80">
        <v>325.0</v>
      </c>
      <c r="C13" s="81" t="s">
        <v>60</v>
      </c>
      <c r="D13" s="82">
        <v>46079.0</v>
      </c>
      <c r="E13" s="83" t="s">
        <v>38</v>
      </c>
      <c r="F13" s="79" t="s">
        <v>20</v>
      </c>
      <c r="G13" s="68">
        <f t="shared" si="1"/>
        <v>32.5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 t="s">
        <v>61</v>
      </c>
      <c r="B14" s="80">
        <v>851.02</v>
      </c>
      <c r="C14" s="81" t="s">
        <v>62</v>
      </c>
      <c r="D14" s="82">
        <v>46077.0</v>
      </c>
      <c r="E14" s="83" t="s">
        <v>38</v>
      </c>
      <c r="F14" s="79" t="s">
        <v>20</v>
      </c>
      <c r="G14" s="68">
        <f t="shared" si="1"/>
        <v>85.102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 t="s">
        <v>63</v>
      </c>
      <c r="B15" s="80">
        <v>3847.6</v>
      </c>
      <c r="C15" s="81" t="s">
        <v>64</v>
      </c>
      <c r="D15" s="82">
        <v>46077.0</v>
      </c>
      <c r="E15" s="83" t="s">
        <v>38</v>
      </c>
      <c r="F15" s="79" t="s">
        <v>20</v>
      </c>
      <c r="G15" s="68">
        <f t="shared" si="1"/>
        <v>384.76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2"/>
      <c r="B16" s="80"/>
      <c r="C16" s="93"/>
      <c r="D16" s="94"/>
      <c r="E16" s="95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2"/>
      <c r="B17" s="80"/>
      <c r="C17" s="93"/>
      <c r="D17" s="94"/>
      <c r="E17" s="95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2"/>
      <c r="B18" s="80"/>
      <c r="C18" s="93"/>
      <c r="D18" s="94"/>
      <c r="E18" s="95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84"/>
      <c r="B19" s="85"/>
      <c r="C19" s="86"/>
      <c r="D19" s="87"/>
      <c r="E19" s="88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89"/>
      <c r="B20" s="85"/>
      <c r="C20" s="86"/>
      <c r="D20" s="87"/>
      <c r="E20" s="88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89"/>
      <c r="B21" s="85"/>
      <c r="C21" s="86"/>
      <c r="D21" s="87"/>
      <c r="E21" s="88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84"/>
      <c r="B22" s="85"/>
      <c r="C22" s="86"/>
      <c r="D22" s="87"/>
      <c r="E22" s="88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89"/>
      <c r="B23" s="85"/>
      <c r="C23" s="25"/>
      <c r="D23" s="90"/>
      <c r="E23" s="88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89"/>
      <c r="B24" s="85"/>
      <c r="C24" s="25"/>
      <c r="D24" s="90"/>
      <c r="E24" s="88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89"/>
      <c r="B25" s="85"/>
      <c r="C25" s="25"/>
      <c r="D25" s="90"/>
      <c r="E25" s="88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89"/>
      <c r="B26" s="25"/>
      <c r="C26" s="25"/>
      <c r="D26" s="90"/>
      <c r="E26" s="88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89"/>
      <c r="B27" s="25"/>
      <c r="C27" s="25"/>
      <c r="D27" s="90"/>
      <c r="E27" s="88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89"/>
      <c r="B28" s="25"/>
      <c r="C28" s="25"/>
      <c r="D28" s="90"/>
      <c r="E28" s="88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0"/>
      <c r="B29" s="25"/>
      <c r="C29" s="25"/>
      <c r="D29" s="25"/>
      <c r="E29" s="88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0"/>
      <c r="B30" s="25"/>
      <c r="C30" s="25"/>
      <c r="D30" s="25"/>
      <c r="E30" s="88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0"/>
      <c r="B31" s="25"/>
      <c r="C31" s="25"/>
      <c r="D31" s="25"/>
      <c r="E31" s="88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0"/>
      <c r="B32" s="25"/>
      <c r="C32" s="25"/>
      <c r="D32" s="25"/>
      <c r="E32" s="88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0"/>
      <c r="B33" s="25"/>
      <c r="C33" s="25"/>
      <c r="D33" s="25"/>
      <c r="E33" s="88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0"/>
      <c r="B34" s="25"/>
      <c r="C34" s="25"/>
      <c r="D34" s="25"/>
      <c r="E34" s="88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0"/>
      <c r="B35" s="25"/>
      <c r="C35" s="25"/>
      <c r="D35" s="25"/>
      <c r="E35" s="88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0"/>
      <c r="B36" s="25"/>
      <c r="C36" s="25"/>
      <c r="D36" s="25"/>
      <c r="E36" s="88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90"/>
      <c r="B37" s="25"/>
      <c r="C37" s="25"/>
      <c r="D37" s="25"/>
      <c r="E37" s="88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8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8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8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8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8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8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8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8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8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8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8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8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8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8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8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8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8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8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8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8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8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8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8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8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8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8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8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8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8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8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8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8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8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8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8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8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8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8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8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8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8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8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8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8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8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8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8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8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8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8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8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8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8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8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8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8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8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8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8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8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8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8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8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8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8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8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8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8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8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8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8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8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8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8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8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8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8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8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8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8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8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8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8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8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8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8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8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8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8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8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8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8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8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8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8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8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8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8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8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8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8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8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8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8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8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8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8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91"/>
      <c r="V971" s="91"/>
      <c r="W971" s="91"/>
      <c r="X971" s="91"/>
      <c r="Y971" s="91"/>
      <c r="Z971" s="91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91"/>
      <c r="V972" s="91"/>
      <c r="W972" s="91"/>
      <c r="X972" s="91"/>
      <c r="Y972" s="91"/>
      <c r="Z972" s="91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91"/>
      <c r="V973" s="91"/>
      <c r="W973" s="91"/>
      <c r="X973" s="91"/>
      <c r="Y973" s="91"/>
      <c r="Z973" s="91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91"/>
      <c r="V974" s="91"/>
      <c r="W974" s="91"/>
      <c r="X974" s="91"/>
      <c r="Y974" s="91"/>
      <c r="Z974" s="91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91"/>
      <c r="V975" s="91"/>
      <c r="W975" s="91"/>
      <c r="X975" s="91"/>
      <c r="Y975" s="91"/>
      <c r="Z975" s="91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91"/>
      <c r="V976" s="91"/>
      <c r="W976" s="91"/>
      <c r="X976" s="91"/>
      <c r="Y976" s="91"/>
      <c r="Z976" s="91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91"/>
      <c r="V977" s="91"/>
      <c r="W977" s="91"/>
      <c r="X977" s="91"/>
      <c r="Y977" s="91"/>
      <c r="Z977" s="91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91"/>
      <c r="V978" s="91"/>
      <c r="W978" s="91"/>
      <c r="X978" s="91"/>
      <c r="Y978" s="91"/>
      <c r="Z978" s="91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91"/>
      <c r="V979" s="91"/>
      <c r="W979" s="91"/>
      <c r="X979" s="91"/>
      <c r="Y979" s="91"/>
      <c r="Z979" s="91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91"/>
      <c r="V980" s="91"/>
      <c r="W980" s="91"/>
      <c r="X980" s="91"/>
      <c r="Y980" s="91"/>
      <c r="Z980" s="91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91"/>
      <c r="V981" s="91"/>
      <c r="W981" s="91"/>
      <c r="X981" s="91"/>
      <c r="Y981" s="91"/>
      <c r="Z981" s="91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91"/>
      <c r="V982" s="91"/>
      <c r="W982" s="91"/>
      <c r="X982" s="91"/>
      <c r="Y982" s="91"/>
      <c r="Z982" s="91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91"/>
      <c r="V983" s="91"/>
      <c r="W983" s="91"/>
      <c r="X983" s="91"/>
      <c r="Y983" s="91"/>
      <c r="Z983" s="91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91"/>
      <c r="V984" s="91"/>
      <c r="W984" s="91"/>
      <c r="X984" s="91"/>
      <c r="Y984" s="91"/>
      <c r="Z984" s="91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91"/>
      <c r="V985" s="91"/>
      <c r="W985" s="91"/>
      <c r="X985" s="91"/>
      <c r="Y985" s="91"/>
      <c r="Z985" s="91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91"/>
      <c r="V986" s="91"/>
      <c r="W986" s="91"/>
      <c r="X986" s="91"/>
      <c r="Y986" s="91"/>
      <c r="Z986" s="91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91"/>
      <c r="V987" s="91"/>
      <c r="W987" s="91"/>
      <c r="X987" s="91"/>
      <c r="Y987" s="91"/>
      <c r="Z987" s="91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91"/>
      <c r="V988" s="91"/>
      <c r="W988" s="91"/>
      <c r="X988" s="91"/>
      <c r="Y988" s="91"/>
      <c r="Z988" s="91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91"/>
      <c r="V989" s="91"/>
      <c r="W989" s="91"/>
      <c r="X989" s="91"/>
      <c r="Y989" s="91"/>
      <c r="Z989" s="91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91"/>
      <c r="V990" s="91"/>
      <c r="W990" s="91"/>
      <c r="X990" s="91"/>
      <c r="Y990" s="91"/>
      <c r="Z990" s="91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91"/>
      <c r="V991" s="91"/>
      <c r="W991" s="91"/>
      <c r="X991" s="91"/>
      <c r="Y991" s="91"/>
      <c r="Z991" s="91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91"/>
      <c r="V992" s="91"/>
      <c r="W992" s="91"/>
      <c r="X992" s="91"/>
      <c r="Y992" s="91"/>
      <c r="Z992" s="91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91"/>
      <c r="V993" s="91"/>
      <c r="W993" s="91"/>
      <c r="X993" s="91"/>
      <c r="Y993" s="91"/>
      <c r="Z993" s="91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91"/>
      <c r="V994" s="91"/>
      <c r="W994" s="91"/>
      <c r="X994" s="91"/>
      <c r="Y994" s="91"/>
      <c r="Z994" s="91"/>
    </row>
    <row r="995">
      <c r="A995" s="4"/>
      <c r="B995" s="4"/>
      <c r="C995" s="4"/>
      <c r="D995" s="4"/>
      <c r="E995" s="4"/>
      <c r="F995" s="4"/>
      <c r="G995" s="4"/>
      <c r="H995" s="9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91"/>
      <c r="V995" s="91"/>
      <c r="W995" s="91"/>
      <c r="X995" s="91"/>
      <c r="Y995" s="91"/>
      <c r="Z995" s="91"/>
    </row>
    <row r="996">
      <c r="A996" s="4"/>
      <c r="B996" s="4"/>
      <c r="C996" s="4"/>
      <c r="D996" s="4"/>
      <c r="E996" s="4"/>
      <c r="F996" s="4"/>
      <c r="G996" s="4"/>
      <c r="H996" s="9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91"/>
      <c r="V996" s="91"/>
      <c r="W996" s="91"/>
      <c r="X996" s="91"/>
      <c r="Y996" s="91"/>
      <c r="Z996" s="91"/>
    </row>
    <row r="997">
      <c r="A997" s="4"/>
      <c r="B997" s="4"/>
      <c r="C997" s="4"/>
      <c r="D997" s="4"/>
      <c r="E997" s="4"/>
      <c r="F997" s="4"/>
      <c r="G997" s="4"/>
      <c r="H997" s="9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91"/>
      <c r="V997" s="91"/>
      <c r="W997" s="91"/>
      <c r="X997" s="91"/>
      <c r="Y997" s="91"/>
      <c r="Z997" s="91"/>
    </row>
    <row r="998">
      <c r="A998" s="4"/>
      <c r="B998" s="4"/>
      <c r="C998" s="4"/>
      <c r="D998" s="4"/>
      <c r="E998" s="4"/>
      <c r="F998" s="4"/>
      <c r="G998" s="4"/>
      <c r="H998" s="9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91"/>
      <c r="V998" s="91"/>
      <c r="W998" s="91"/>
      <c r="X998" s="91"/>
      <c r="Y998" s="91"/>
      <c r="Z998" s="91"/>
    </row>
    <row r="999">
      <c r="A999" s="4"/>
      <c r="B999" s="4"/>
      <c r="C999" s="4"/>
      <c r="D999" s="4"/>
      <c r="E999" s="4"/>
      <c r="F999" s="4"/>
      <c r="G999" s="4"/>
      <c r="H999" s="9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91"/>
      <c r="V999" s="91"/>
      <c r="W999" s="91"/>
      <c r="X999" s="91"/>
      <c r="Y999" s="91"/>
      <c r="Z999" s="91"/>
    </row>
    <row r="1000">
      <c r="A1000" s="4"/>
      <c r="B1000" s="4"/>
      <c r="C1000" s="4"/>
      <c r="D1000" s="4"/>
      <c r="E1000" s="4"/>
      <c r="F1000" s="4"/>
      <c r="G1000" s="4"/>
      <c r="H1000" s="9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91"/>
      <c r="V1000" s="91"/>
      <c r="W1000" s="91"/>
      <c r="X1000" s="91"/>
      <c r="Y1000" s="91"/>
      <c r="Z1000" s="91"/>
    </row>
    <row r="1001">
      <c r="A1001" s="4"/>
      <c r="B1001" s="4"/>
      <c r="C1001" s="4"/>
      <c r="D1001" s="4"/>
      <c r="E1001" s="4"/>
      <c r="F1001" s="4"/>
      <c r="G1001" s="4"/>
      <c r="H1001" s="9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91"/>
      <c r="V1001" s="91"/>
      <c r="W1001" s="91"/>
      <c r="X1001" s="91"/>
      <c r="Y1001" s="91"/>
      <c r="Z1001" s="91"/>
    </row>
    <row r="1002">
      <c r="A1002" s="4"/>
      <c r="B1002" s="4"/>
      <c r="C1002" s="4"/>
      <c r="D1002" s="4"/>
      <c r="E1002" s="4"/>
      <c r="F1002" s="4"/>
      <c r="G1002" s="4"/>
      <c r="H1002" s="9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91"/>
      <c r="V1002" s="91"/>
      <c r="W1002" s="91"/>
      <c r="X1002" s="91"/>
      <c r="Y1002" s="91"/>
      <c r="Z1002" s="91"/>
    </row>
    <row r="1003">
      <c r="A1003" s="4"/>
      <c r="B1003" s="4"/>
      <c r="C1003" s="4"/>
      <c r="D1003" s="4"/>
      <c r="E1003" s="4"/>
      <c r="F1003" s="4"/>
      <c r="G1003" s="4"/>
      <c r="H1003" s="9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91"/>
      <c r="V1003" s="91"/>
      <c r="W1003" s="91"/>
      <c r="X1003" s="91"/>
      <c r="Y1003" s="91"/>
      <c r="Z1003" s="91"/>
    </row>
    <row r="1004">
      <c r="A1004" s="4"/>
      <c r="B1004" s="4"/>
      <c r="C1004" s="4"/>
      <c r="D1004" s="4"/>
      <c r="E1004" s="4"/>
      <c r="F1004" s="4"/>
      <c r="G1004" s="4"/>
      <c r="H1004" s="9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91"/>
      <c r="V1004" s="91"/>
      <c r="W1004" s="91"/>
      <c r="X1004" s="91"/>
      <c r="Y1004" s="91"/>
      <c r="Z1004" s="91"/>
    </row>
    <row r="1005">
      <c r="A1005" s="4"/>
      <c r="B1005" s="4"/>
      <c r="C1005" s="4"/>
      <c r="D1005" s="4"/>
      <c r="E1005" s="4"/>
      <c r="F1005" s="4"/>
      <c r="G1005" s="4"/>
      <c r="H1005" s="9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91"/>
      <c r="V1005" s="91"/>
      <c r="W1005" s="91"/>
      <c r="X1005" s="91"/>
      <c r="Y1005" s="91"/>
      <c r="Z1005" s="9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2033.161</v>
      </c>
      <c r="C2" s="70">
        <f>SUMIF(F8:F960,"MÉDIA MULTI-ANNONCEURS",G8:G960)</f>
        <v>0</v>
      </c>
      <c r="D2" s="71">
        <f>SUMIF(F8:F960,"PROMOTIONNEL",G8:G960)</f>
        <v>2033.161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20331.61</v>
      </c>
      <c r="C4" s="70">
        <f>SUMIF(F8:F960,"MÉDIA MULTI-ANNONCEURS",B8:B960)</f>
        <v>0</v>
      </c>
      <c r="D4" s="71">
        <f>SUMIF(F8:F960,"PROMOTIONNEL",B8:B960)</f>
        <v>20331.61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97" t="s">
        <v>65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 t="s">
        <v>66</v>
      </c>
      <c r="B8" s="80">
        <v>49.04</v>
      </c>
      <c r="C8" s="81" t="s">
        <v>67</v>
      </c>
      <c r="D8" s="82">
        <v>46112.0</v>
      </c>
      <c r="E8" s="83" t="s">
        <v>68</v>
      </c>
      <c r="F8" s="79" t="s">
        <v>20</v>
      </c>
      <c r="G8" s="68">
        <f t="shared" ref="G8:G166" si="1">B8*0.1</f>
        <v>4.904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 t="s">
        <v>66</v>
      </c>
      <c r="B9" s="80">
        <v>472.08</v>
      </c>
      <c r="C9" s="81" t="s">
        <v>69</v>
      </c>
      <c r="D9" s="82">
        <v>46112.0</v>
      </c>
      <c r="E9" s="83" t="s">
        <v>68</v>
      </c>
      <c r="F9" s="79" t="s">
        <v>20</v>
      </c>
      <c r="G9" s="68">
        <f t="shared" si="1"/>
        <v>47.208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 t="s">
        <v>66</v>
      </c>
      <c r="B10" s="80">
        <v>356.61</v>
      </c>
      <c r="C10" s="81" t="s">
        <v>70</v>
      </c>
      <c r="D10" s="82">
        <v>46112.0</v>
      </c>
      <c r="E10" s="83" t="s">
        <v>68</v>
      </c>
      <c r="F10" s="79" t="s">
        <v>20</v>
      </c>
      <c r="G10" s="68">
        <f t="shared" si="1"/>
        <v>35.661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 t="s">
        <v>71</v>
      </c>
      <c r="B11" s="80">
        <v>4930.74</v>
      </c>
      <c r="C11" s="81" t="s">
        <v>72</v>
      </c>
      <c r="D11" s="82">
        <v>46112.0</v>
      </c>
      <c r="E11" s="83" t="s">
        <v>68</v>
      </c>
      <c r="F11" s="79" t="s">
        <v>20</v>
      </c>
      <c r="G11" s="68">
        <f t="shared" si="1"/>
        <v>493.074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 t="s">
        <v>73</v>
      </c>
      <c r="B12" s="80">
        <v>443.19</v>
      </c>
      <c r="C12" s="81" t="s">
        <v>74</v>
      </c>
      <c r="D12" s="82">
        <v>46111.0</v>
      </c>
      <c r="E12" s="83" t="s">
        <v>68</v>
      </c>
      <c r="F12" s="79" t="s">
        <v>20</v>
      </c>
      <c r="G12" s="68">
        <f t="shared" si="1"/>
        <v>44.319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 t="s">
        <v>75</v>
      </c>
      <c r="B13" s="80">
        <v>635.0</v>
      </c>
      <c r="C13" s="81" t="s">
        <v>76</v>
      </c>
      <c r="D13" s="82">
        <v>46111.0</v>
      </c>
      <c r="E13" s="83" t="s">
        <v>68</v>
      </c>
      <c r="F13" s="79" t="s">
        <v>20</v>
      </c>
      <c r="G13" s="68">
        <f t="shared" si="1"/>
        <v>63.5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 t="s">
        <v>77</v>
      </c>
      <c r="B14" s="80">
        <v>1690.0</v>
      </c>
      <c r="C14" s="81" t="s">
        <v>78</v>
      </c>
      <c r="D14" s="82">
        <v>46111.0</v>
      </c>
      <c r="E14" s="83" t="s">
        <v>68</v>
      </c>
      <c r="F14" s="79" t="s">
        <v>20</v>
      </c>
      <c r="G14" s="68">
        <f t="shared" si="1"/>
        <v>169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 t="s">
        <v>79</v>
      </c>
      <c r="B15" s="80">
        <v>1137.97</v>
      </c>
      <c r="C15" s="81" t="s">
        <v>80</v>
      </c>
      <c r="D15" s="82">
        <v>46111.0</v>
      </c>
      <c r="E15" s="83" t="s">
        <v>68</v>
      </c>
      <c r="F15" s="79" t="s">
        <v>20</v>
      </c>
      <c r="G15" s="68">
        <f t="shared" si="1"/>
        <v>113.797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79" t="s">
        <v>81</v>
      </c>
      <c r="B16" s="80">
        <v>147.3</v>
      </c>
      <c r="C16" s="81" t="s">
        <v>82</v>
      </c>
      <c r="D16" s="82">
        <v>46106.0</v>
      </c>
      <c r="E16" s="83" t="s">
        <v>68</v>
      </c>
      <c r="F16" s="79" t="s">
        <v>20</v>
      </c>
      <c r="G16" s="68">
        <f t="shared" si="1"/>
        <v>14.73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79" t="s">
        <v>83</v>
      </c>
      <c r="B17" s="80">
        <v>494.5</v>
      </c>
      <c r="C17" s="81" t="s">
        <v>84</v>
      </c>
      <c r="D17" s="82">
        <v>46106.0</v>
      </c>
      <c r="E17" s="83" t="s">
        <v>68</v>
      </c>
      <c r="F17" s="79" t="s">
        <v>20</v>
      </c>
      <c r="G17" s="68">
        <f t="shared" si="1"/>
        <v>49.45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79" t="s">
        <v>85</v>
      </c>
      <c r="B18" s="80">
        <v>257.5</v>
      </c>
      <c r="C18" s="81" t="s">
        <v>86</v>
      </c>
      <c r="D18" s="82">
        <v>46106.0</v>
      </c>
      <c r="E18" s="83" t="s">
        <v>68</v>
      </c>
      <c r="F18" s="79" t="s">
        <v>20</v>
      </c>
      <c r="G18" s="68">
        <f t="shared" si="1"/>
        <v>25.75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79" t="s">
        <v>87</v>
      </c>
      <c r="B19" s="80">
        <v>1437.78</v>
      </c>
      <c r="C19" s="81" t="s">
        <v>88</v>
      </c>
      <c r="D19" s="82">
        <v>46101.0</v>
      </c>
      <c r="E19" s="83" t="s">
        <v>68</v>
      </c>
      <c r="F19" s="79" t="s">
        <v>20</v>
      </c>
      <c r="G19" s="68">
        <f t="shared" si="1"/>
        <v>143.778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79" t="s">
        <v>89</v>
      </c>
      <c r="B20" s="80">
        <v>590.0</v>
      </c>
      <c r="C20" s="81" t="s">
        <v>90</v>
      </c>
      <c r="D20" s="82">
        <v>46099.0</v>
      </c>
      <c r="E20" s="83" t="s">
        <v>68</v>
      </c>
      <c r="F20" s="79" t="s">
        <v>20</v>
      </c>
      <c r="G20" s="68">
        <f t="shared" si="1"/>
        <v>59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79" t="s">
        <v>87</v>
      </c>
      <c r="B21" s="80">
        <v>1650.0</v>
      </c>
      <c r="C21" s="81" t="s">
        <v>91</v>
      </c>
      <c r="D21" s="82">
        <v>46094.0</v>
      </c>
      <c r="E21" s="83" t="s">
        <v>68</v>
      </c>
      <c r="F21" s="79" t="s">
        <v>20</v>
      </c>
      <c r="G21" s="68">
        <f t="shared" si="1"/>
        <v>165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79" t="s">
        <v>81</v>
      </c>
      <c r="B22" s="80">
        <v>1704.9</v>
      </c>
      <c r="C22" s="81" t="s">
        <v>92</v>
      </c>
      <c r="D22" s="82">
        <v>46093.0</v>
      </c>
      <c r="E22" s="83" t="s">
        <v>68</v>
      </c>
      <c r="F22" s="79" t="s">
        <v>20</v>
      </c>
      <c r="G22" s="68">
        <f t="shared" si="1"/>
        <v>170.49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79" t="s">
        <v>93</v>
      </c>
      <c r="B23" s="80">
        <v>1300.0</v>
      </c>
      <c r="C23" s="81" t="s">
        <v>94</v>
      </c>
      <c r="D23" s="82">
        <v>46093.0</v>
      </c>
      <c r="E23" s="83" t="s">
        <v>68</v>
      </c>
      <c r="F23" s="79" t="s">
        <v>20</v>
      </c>
      <c r="G23" s="68">
        <f t="shared" si="1"/>
        <v>130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79" t="s">
        <v>95</v>
      </c>
      <c r="B24" s="80">
        <v>3035.0</v>
      </c>
      <c r="C24" s="81" t="s">
        <v>96</v>
      </c>
      <c r="D24" s="82">
        <v>46083.0</v>
      </c>
      <c r="E24" s="83" t="s">
        <v>68</v>
      </c>
      <c r="F24" s="79" t="s">
        <v>20</v>
      </c>
      <c r="G24" s="68">
        <f t="shared" si="1"/>
        <v>303.5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79"/>
      <c r="B25" s="80"/>
      <c r="C25" s="81"/>
      <c r="D25" s="82"/>
      <c r="E25" s="83"/>
      <c r="F25" s="79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89"/>
      <c r="B26" s="25"/>
      <c r="C26" s="25"/>
      <c r="D26" s="90"/>
      <c r="E26" s="88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89"/>
      <c r="B27" s="25"/>
      <c r="C27" s="25"/>
      <c r="D27" s="90"/>
      <c r="E27" s="88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89"/>
      <c r="B28" s="25"/>
      <c r="C28" s="25"/>
      <c r="D28" s="90"/>
      <c r="E28" s="88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0"/>
      <c r="B29" s="25"/>
      <c r="C29" s="25"/>
      <c r="D29" s="25"/>
      <c r="E29" s="88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0"/>
      <c r="B30" s="25"/>
      <c r="C30" s="25"/>
      <c r="D30" s="25"/>
      <c r="E30" s="88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0"/>
      <c r="B31" s="25"/>
      <c r="C31" s="25"/>
      <c r="D31" s="25"/>
      <c r="E31" s="88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0"/>
      <c r="B32" s="25"/>
      <c r="C32" s="25"/>
      <c r="D32" s="25"/>
      <c r="E32" s="88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0"/>
      <c r="B33" s="25"/>
      <c r="C33" s="25"/>
      <c r="D33" s="25"/>
      <c r="E33" s="88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0"/>
      <c r="B34" s="25"/>
      <c r="C34" s="25"/>
      <c r="D34" s="25"/>
      <c r="E34" s="88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0"/>
      <c r="B35" s="25"/>
      <c r="C35" s="25"/>
      <c r="D35" s="25"/>
      <c r="E35" s="88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0"/>
      <c r="B36" s="25"/>
      <c r="C36" s="25"/>
      <c r="D36" s="25"/>
      <c r="E36" s="88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90"/>
      <c r="B37" s="25"/>
      <c r="C37" s="25"/>
      <c r="D37" s="25"/>
      <c r="E37" s="88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8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8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8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8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8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8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8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8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8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8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8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8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8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8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8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8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8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8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8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8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8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8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8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8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8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8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8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8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8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8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8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8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8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8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8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8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8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8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8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8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8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8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8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8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8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8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8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8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8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8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8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8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8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8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8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8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8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8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8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8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8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8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8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8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8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8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8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8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8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8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8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8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8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8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8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8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8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8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8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8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8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8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8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8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8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8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8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8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8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8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8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8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8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8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8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8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8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8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8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8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8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8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8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8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8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8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8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91"/>
      <c r="V971" s="91"/>
      <c r="W971" s="91"/>
      <c r="X971" s="91"/>
      <c r="Y971" s="91"/>
      <c r="Z971" s="91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91"/>
      <c r="V972" s="91"/>
      <c r="W972" s="91"/>
      <c r="X972" s="91"/>
      <c r="Y972" s="91"/>
      <c r="Z972" s="91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91"/>
      <c r="V973" s="91"/>
      <c r="W973" s="91"/>
      <c r="X973" s="91"/>
      <c r="Y973" s="91"/>
      <c r="Z973" s="91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91"/>
      <c r="V974" s="91"/>
      <c r="W974" s="91"/>
      <c r="X974" s="91"/>
      <c r="Y974" s="91"/>
      <c r="Z974" s="91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91"/>
      <c r="V975" s="91"/>
      <c r="W975" s="91"/>
      <c r="X975" s="91"/>
      <c r="Y975" s="91"/>
      <c r="Z975" s="91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91"/>
      <c r="V976" s="91"/>
      <c r="W976" s="91"/>
      <c r="X976" s="91"/>
      <c r="Y976" s="91"/>
      <c r="Z976" s="91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91"/>
      <c r="V977" s="91"/>
      <c r="W977" s="91"/>
      <c r="X977" s="91"/>
      <c r="Y977" s="91"/>
      <c r="Z977" s="91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91"/>
      <c r="V978" s="91"/>
      <c r="W978" s="91"/>
      <c r="X978" s="91"/>
      <c r="Y978" s="91"/>
      <c r="Z978" s="91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91"/>
      <c r="V979" s="91"/>
      <c r="W979" s="91"/>
      <c r="X979" s="91"/>
      <c r="Y979" s="91"/>
      <c r="Z979" s="91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91"/>
      <c r="V980" s="91"/>
      <c r="W980" s="91"/>
      <c r="X980" s="91"/>
      <c r="Y980" s="91"/>
      <c r="Z980" s="91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91"/>
      <c r="V981" s="91"/>
      <c r="W981" s="91"/>
      <c r="X981" s="91"/>
      <c r="Y981" s="91"/>
      <c r="Z981" s="91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91"/>
      <c r="V982" s="91"/>
      <c r="W982" s="91"/>
      <c r="X982" s="91"/>
      <c r="Y982" s="91"/>
      <c r="Z982" s="91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91"/>
      <c r="V983" s="91"/>
      <c r="W983" s="91"/>
      <c r="X983" s="91"/>
      <c r="Y983" s="91"/>
      <c r="Z983" s="91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91"/>
      <c r="V984" s="91"/>
      <c r="W984" s="91"/>
      <c r="X984" s="91"/>
      <c r="Y984" s="91"/>
      <c r="Z984" s="91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91"/>
      <c r="V985" s="91"/>
      <c r="W985" s="91"/>
      <c r="X985" s="91"/>
      <c r="Y985" s="91"/>
      <c r="Z985" s="91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91"/>
      <c r="V986" s="91"/>
      <c r="W986" s="91"/>
      <c r="X986" s="91"/>
      <c r="Y986" s="91"/>
      <c r="Z986" s="91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91"/>
      <c r="V987" s="91"/>
      <c r="W987" s="91"/>
      <c r="X987" s="91"/>
      <c r="Y987" s="91"/>
      <c r="Z987" s="91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91"/>
      <c r="V988" s="91"/>
      <c r="W988" s="91"/>
      <c r="X988" s="91"/>
      <c r="Y988" s="91"/>
      <c r="Z988" s="91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91"/>
      <c r="V989" s="91"/>
      <c r="W989" s="91"/>
      <c r="X989" s="91"/>
      <c r="Y989" s="91"/>
      <c r="Z989" s="91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91"/>
      <c r="V990" s="91"/>
      <c r="W990" s="91"/>
      <c r="X990" s="91"/>
      <c r="Y990" s="91"/>
      <c r="Z990" s="91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91"/>
      <c r="V991" s="91"/>
      <c r="W991" s="91"/>
      <c r="X991" s="91"/>
      <c r="Y991" s="91"/>
      <c r="Z991" s="91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91"/>
      <c r="V992" s="91"/>
      <c r="W992" s="91"/>
      <c r="X992" s="91"/>
      <c r="Y992" s="91"/>
      <c r="Z992" s="91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91"/>
      <c r="V993" s="91"/>
      <c r="W993" s="91"/>
      <c r="X993" s="91"/>
      <c r="Y993" s="91"/>
      <c r="Z993" s="91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91"/>
      <c r="V994" s="91"/>
      <c r="W994" s="91"/>
      <c r="X994" s="91"/>
      <c r="Y994" s="91"/>
      <c r="Z994" s="91"/>
    </row>
    <row r="995">
      <c r="A995" s="4"/>
      <c r="B995" s="4"/>
      <c r="C995" s="4"/>
      <c r="D995" s="4"/>
      <c r="E995" s="4"/>
      <c r="F995" s="4"/>
      <c r="G995" s="4"/>
      <c r="H995" s="9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91"/>
      <c r="V995" s="91"/>
      <c r="W995" s="91"/>
      <c r="X995" s="91"/>
      <c r="Y995" s="91"/>
      <c r="Z995" s="91"/>
    </row>
    <row r="996">
      <c r="A996" s="4"/>
      <c r="B996" s="4"/>
      <c r="C996" s="4"/>
      <c r="D996" s="4"/>
      <c r="E996" s="4"/>
      <c r="F996" s="4"/>
      <c r="G996" s="4"/>
      <c r="H996" s="9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91"/>
      <c r="V996" s="91"/>
      <c r="W996" s="91"/>
      <c r="X996" s="91"/>
      <c r="Y996" s="91"/>
      <c r="Z996" s="91"/>
    </row>
    <row r="997">
      <c r="A997" s="4"/>
      <c r="B997" s="4"/>
      <c r="C997" s="4"/>
      <c r="D997" s="4"/>
      <c r="E997" s="4"/>
      <c r="F997" s="4"/>
      <c r="G997" s="4"/>
      <c r="H997" s="9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91"/>
      <c r="V997" s="91"/>
      <c r="W997" s="91"/>
      <c r="X997" s="91"/>
      <c r="Y997" s="91"/>
      <c r="Z997" s="91"/>
    </row>
    <row r="998">
      <c r="A998" s="4"/>
      <c r="B998" s="4"/>
      <c r="C998" s="4"/>
      <c r="D998" s="4"/>
      <c r="E998" s="4"/>
      <c r="F998" s="4"/>
      <c r="G998" s="4"/>
      <c r="H998" s="9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91"/>
      <c r="V998" s="91"/>
      <c r="W998" s="91"/>
      <c r="X998" s="91"/>
      <c r="Y998" s="91"/>
      <c r="Z998" s="91"/>
    </row>
    <row r="999">
      <c r="A999" s="4"/>
      <c r="B999" s="4"/>
      <c r="C999" s="4"/>
      <c r="D999" s="4"/>
      <c r="E999" s="4"/>
      <c r="F999" s="4"/>
      <c r="G999" s="4"/>
      <c r="H999" s="9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91"/>
      <c r="V999" s="91"/>
      <c r="W999" s="91"/>
      <c r="X999" s="91"/>
      <c r="Y999" s="91"/>
      <c r="Z999" s="91"/>
    </row>
    <row r="1000">
      <c r="A1000" s="4"/>
      <c r="B1000" s="4"/>
      <c r="C1000" s="4"/>
      <c r="D1000" s="4"/>
      <c r="E1000" s="4"/>
      <c r="F1000" s="4"/>
      <c r="G1000" s="4"/>
      <c r="H1000" s="9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91"/>
      <c r="V1000" s="91"/>
      <c r="W1000" s="91"/>
      <c r="X1000" s="91"/>
      <c r="Y1000" s="91"/>
      <c r="Z1000" s="91"/>
    </row>
    <row r="1001">
      <c r="A1001" s="4"/>
      <c r="B1001" s="4"/>
      <c r="C1001" s="4"/>
      <c r="D1001" s="4"/>
      <c r="E1001" s="4"/>
      <c r="F1001" s="4"/>
      <c r="G1001" s="4"/>
      <c r="H1001" s="9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91"/>
      <c r="V1001" s="91"/>
      <c r="W1001" s="91"/>
      <c r="X1001" s="91"/>
      <c r="Y1001" s="91"/>
      <c r="Z1001" s="91"/>
    </row>
    <row r="1002">
      <c r="A1002" s="4"/>
      <c r="B1002" s="4"/>
      <c r="C1002" s="4"/>
      <c r="D1002" s="4"/>
      <c r="E1002" s="4"/>
      <c r="F1002" s="4"/>
      <c r="G1002" s="4"/>
      <c r="H1002" s="9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91"/>
      <c r="V1002" s="91"/>
      <c r="W1002" s="91"/>
      <c r="X1002" s="91"/>
      <c r="Y1002" s="91"/>
      <c r="Z1002" s="91"/>
    </row>
    <row r="1003">
      <c r="A1003" s="4"/>
      <c r="B1003" s="4"/>
      <c r="C1003" s="4"/>
      <c r="D1003" s="4"/>
      <c r="E1003" s="4"/>
      <c r="F1003" s="4"/>
      <c r="G1003" s="4"/>
      <c r="H1003" s="9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91"/>
      <c r="V1003" s="91"/>
      <c r="W1003" s="91"/>
      <c r="X1003" s="91"/>
      <c r="Y1003" s="91"/>
      <c r="Z1003" s="91"/>
    </row>
    <row r="1004">
      <c r="A1004" s="4"/>
      <c r="B1004" s="4"/>
      <c r="C1004" s="4"/>
      <c r="D1004" s="4"/>
      <c r="E1004" s="4"/>
      <c r="F1004" s="4"/>
      <c r="G1004" s="4"/>
      <c r="H1004" s="9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91"/>
      <c r="V1004" s="91"/>
      <c r="W1004" s="91"/>
      <c r="X1004" s="91"/>
      <c r="Y1004" s="91"/>
      <c r="Z1004" s="91"/>
    </row>
    <row r="1005">
      <c r="A1005" s="4"/>
      <c r="B1005" s="4"/>
      <c r="C1005" s="4"/>
      <c r="D1005" s="4"/>
      <c r="E1005" s="4"/>
      <c r="F1005" s="4"/>
      <c r="G1005" s="4"/>
      <c r="H1005" s="9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91"/>
      <c r="V1005" s="91"/>
      <c r="W1005" s="91"/>
      <c r="X1005" s="91"/>
      <c r="Y1005" s="91"/>
      <c r="Z1005" s="9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SUM(G7:G961)</f>
        <v>3032.444</v>
      </c>
      <c r="C2" s="70">
        <f>SUMIF(F8:F959,"MÉDIA MULTI-ANNONCEURS",G8:G959)</f>
        <v>0</v>
      </c>
      <c r="D2" s="71">
        <f>SUMIF(F8:F959,"PROMOTIONNEL",G8:G959)</f>
        <v>3032.444</v>
      </c>
      <c r="E2" s="72">
        <f>SUMIF(F8:F959,"DIST. PUBLICITAIRE SOLO",G8:G959)</f>
        <v>0</v>
      </c>
      <c r="F2" s="73">
        <f>SUMIF(F8:F959,"AGENCE PUB",G8:G959)</f>
        <v>0</v>
      </c>
      <c r="G2" s="74">
        <f>SUMIF(F8:F959,"AGENCE WEB",G8:G959)</f>
        <v>0</v>
      </c>
      <c r="H2" s="75">
        <f>SUMIF(F8:F959,"SERVICES IA",G8:G959)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SUM(B8:B961)</f>
        <v>30324.44</v>
      </c>
      <c r="C4" s="70">
        <f>SUMIF(F8:F959,"MÉDIA MULTI-ANNONCEURS",B8:B959)</f>
        <v>0</v>
      </c>
      <c r="D4" s="71">
        <f>SUMIF(F8:F959,"PROMOTIONNEL",B8:B959)</f>
        <v>30324.44</v>
      </c>
      <c r="E4" s="72">
        <f>SUMIF(F8:F959,"DIST. PUBLICITAIRE SOLO",B8:B959)</f>
        <v>0</v>
      </c>
      <c r="F4" s="73">
        <f>SUMIF(F8:F959,"AGENCE PUB",B8:B959)</f>
        <v>0</v>
      </c>
      <c r="G4" s="74">
        <f>SUMIF(F8:F959,"AGENCE WEB",B8:B959)</f>
        <v>0</v>
      </c>
      <c r="H4" s="75">
        <f>SUMIF(F8:F959,"SERVICES IA",B8:B959)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 t="s">
        <v>97</v>
      </c>
      <c r="B8" s="80">
        <v>8765.85</v>
      </c>
      <c r="C8" s="81" t="s">
        <v>98</v>
      </c>
      <c r="D8" s="82">
        <v>46113.0</v>
      </c>
      <c r="E8" s="83" t="s">
        <v>38</v>
      </c>
      <c r="F8" s="79" t="s">
        <v>20</v>
      </c>
      <c r="G8" s="68">
        <f t="shared" ref="G8:G165" si="1">B8*0.1</f>
        <v>876.585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 t="s">
        <v>73</v>
      </c>
      <c r="B9" s="80">
        <v>418.15</v>
      </c>
      <c r="C9" s="81" t="s">
        <v>99</v>
      </c>
      <c r="D9" s="82">
        <v>46114.0</v>
      </c>
      <c r="E9" s="83" t="s">
        <v>38</v>
      </c>
      <c r="F9" s="79" t="s">
        <v>20</v>
      </c>
      <c r="G9" s="68">
        <f t="shared" si="1"/>
        <v>41.815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 t="s">
        <v>100</v>
      </c>
      <c r="B10" s="80">
        <v>2465.0</v>
      </c>
      <c r="C10" s="81" t="s">
        <v>101</v>
      </c>
      <c r="D10" s="82">
        <v>46118.0</v>
      </c>
      <c r="E10" s="83" t="s">
        <v>38</v>
      </c>
      <c r="F10" s="79" t="s">
        <v>20</v>
      </c>
      <c r="G10" s="68">
        <f t="shared" si="1"/>
        <v>246.5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 t="s">
        <v>102</v>
      </c>
      <c r="B11" s="80">
        <v>76.0</v>
      </c>
      <c r="C11" s="81" t="s">
        <v>103</v>
      </c>
      <c r="D11" s="82">
        <v>46118.0</v>
      </c>
      <c r="E11" s="83" t="s">
        <v>38</v>
      </c>
      <c r="F11" s="79" t="s">
        <v>20</v>
      </c>
      <c r="G11" s="68">
        <f t="shared" si="1"/>
        <v>7.6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 t="s">
        <v>104</v>
      </c>
      <c r="B12" s="80">
        <v>322.5</v>
      </c>
      <c r="C12" s="81" t="s">
        <v>105</v>
      </c>
      <c r="D12" s="82">
        <v>46120.0</v>
      </c>
      <c r="E12" s="83" t="s">
        <v>38</v>
      </c>
      <c r="F12" s="79" t="s">
        <v>20</v>
      </c>
      <c r="G12" s="68">
        <f t="shared" si="1"/>
        <v>32.25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 t="s">
        <v>106</v>
      </c>
      <c r="B13" s="80">
        <v>2586.46</v>
      </c>
      <c r="C13" s="81" t="s">
        <v>107</v>
      </c>
      <c r="D13" s="82">
        <v>46120.0</v>
      </c>
      <c r="E13" s="83" t="s">
        <v>38</v>
      </c>
      <c r="F13" s="79" t="s">
        <v>20</v>
      </c>
      <c r="G13" s="68">
        <f t="shared" si="1"/>
        <v>258.646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 t="s">
        <v>73</v>
      </c>
      <c r="B14" s="80">
        <v>90.8</v>
      </c>
      <c r="C14" s="81" t="s">
        <v>108</v>
      </c>
      <c r="D14" s="82">
        <v>46120.0</v>
      </c>
      <c r="E14" s="83" t="s">
        <v>38</v>
      </c>
      <c r="F14" s="79" t="s">
        <v>20</v>
      </c>
      <c r="G14" s="68">
        <f t="shared" si="1"/>
        <v>9.08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 t="s">
        <v>109</v>
      </c>
      <c r="B15" s="80">
        <v>375.0</v>
      </c>
      <c r="C15" s="81" t="s">
        <v>110</v>
      </c>
      <c r="D15" s="82">
        <v>46121.0</v>
      </c>
      <c r="E15" s="83" t="s">
        <v>38</v>
      </c>
      <c r="F15" s="79" t="s">
        <v>20</v>
      </c>
      <c r="G15" s="68">
        <f t="shared" si="1"/>
        <v>37.5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79" t="s">
        <v>109</v>
      </c>
      <c r="B16" s="80">
        <v>1128.35</v>
      </c>
      <c r="C16" s="81" t="s">
        <v>111</v>
      </c>
      <c r="D16" s="82">
        <v>46122.0</v>
      </c>
      <c r="E16" s="83" t="s">
        <v>38</v>
      </c>
      <c r="F16" s="79" t="s">
        <v>20</v>
      </c>
      <c r="G16" s="68">
        <f t="shared" si="1"/>
        <v>112.835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79" t="s">
        <v>112</v>
      </c>
      <c r="B17" s="80">
        <v>222.54</v>
      </c>
      <c r="C17" s="81" t="s">
        <v>113</v>
      </c>
      <c r="D17" s="82">
        <v>46122.0</v>
      </c>
      <c r="E17" s="83" t="s">
        <v>38</v>
      </c>
      <c r="F17" s="79" t="s">
        <v>20</v>
      </c>
      <c r="G17" s="68">
        <f t="shared" si="1"/>
        <v>22.254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79" t="s">
        <v>114</v>
      </c>
      <c r="B18" s="80">
        <v>313.27</v>
      </c>
      <c r="C18" s="81" t="s">
        <v>115</v>
      </c>
      <c r="D18" s="82">
        <v>46122.0</v>
      </c>
      <c r="E18" s="83" t="s">
        <v>38</v>
      </c>
      <c r="F18" s="79" t="s">
        <v>20</v>
      </c>
      <c r="G18" s="68">
        <f t="shared" si="1"/>
        <v>31.327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79" t="s">
        <v>116</v>
      </c>
      <c r="B19" s="80">
        <v>60.0</v>
      </c>
      <c r="C19" s="81" t="s">
        <v>117</v>
      </c>
      <c r="D19" s="82">
        <v>46122.0</v>
      </c>
      <c r="E19" s="83" t="s">
        <v>38</v>
      </c>
      <c r="F19" s="79" t="s">
        <v>20</v>
      </c>
      <c r="G19" s="68">
        <f t="shared" si="1"/>
        <v>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79" t="s">
        <v>118</v>
      </c>
      <c r="B20" s="80">
        <v>5677.0</v>
      </c>
      <c r="C20" s="81" t="s">
        <v>119</v>
      </c>
      <c r="D20" s="82">
        <v>46129.0</v>
      </c>
      <c r="E20" s="83" t="s">
        <v>38</v>
      </c>
      <c r="F20" s="79" t="s">
        <v>20</v>
      </c>
      <c r="G20" s="68">
        <f t="shared" si="1"/>
        <v>567.7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79" t="s">
        <v>120</v>
      </c>
      <c r="B21" s="80">
        <v>1388.0</v>
      </c>
      <c r="C21" s="81" t="s">
        <v>121</v>
      </c>
      <c r="D21" s="82">
        <v>46128.0</v>
      </c>
      <c r="E21" s="83" t="s">
        <v>38</v>
      </c>
      <c r="F21" s="79" t="s">
        <v>20</v>
      </c>
      <c r="G21" s="68">
        <f t="shared" si="1"/>
        <v>138.8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79" t="s">
        <v>122</v>
      </c>
      <c r="B22" s="80">
        <v>241.33</v>
      </c>
      <c r="C22" s="81" t="s">
        <v>123</v>
      </c>
      <c r="D22" s="82">
        <v>46126.0</v>
      </c>
      <c r="E22" s="83" t="s">
        <v>38</v>
      </c>
      <c r="F22" s="79" t="s">
        <v>20</v>
      </c>
      <c r="G22" s="68">
        <f t="shared" si="1"/>
        <v>24.133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79" t="s">
        <v>124</v>
      </c>
      <c r="B23" s="80">
        <v>427.79</v>
      </c>
      <c r="C23" s="81" t="s">
        <v>125</v>
      </c>
      <c r="D23" s="82">
        <v>46126.0</v>
      </c>
      <c r="E23" s="83" t="s">
        <v>38</v>
      </c>
      <c r="F23" s="79" t="s">
        <v>20</v>
      </c>
      <c r="G23" s="68">
        <f t="shared" si="1"/>
        <v>42.779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79" t="s">
        <v>109</v>
      </c>
      <c r="B24" s="80">
        <v>1840.0</v>
      </c>
      <c r="C24" s="81" t="s">
        <v>126</v>
      </c>
      <c r="D24" s="82">
        <v>46125.0</v>
      </c>
      <c r="E24" s="83" t="s">
        <v>38</v>
      </c>
      <c r="F24" s="79" t="s">
        <v>20</v>
      </c>
      <c r="G24" s="68">
        <f t="shared" si="1"/>
        <v>184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79" t="s">
        <v>127</v>
      </c>
      <c r="B25" s="80">
        <v>2952.5</v>
      </c>
      <c r="C25" s="81" t="s">
        <v>128</v>
      </c>
      <c r="D25" s="82">
        <v>46136.0</v>
      </c>
      <c r="E25" s="83" t="s">
        <v>38</v>
      </c>
      <c r="F25" s="79" t="s">
        <v>20</v>
      </c>
      <c r="G25" s="68">
        <f t="shared" si="1"/>
        <v>295.25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79" t="s">
        <v>112</v>
      </c>
      <c r="B26" s="80">
        <v>837.25</v>
      </c>
      <c r="C26" s="81" t="s">
        <v>129</v>
      </c>
      <c r="D26" s="82">
        <v>46135.0</v>
      </c>
      <c r="E26" s="83" t="s">
        <v>38</v>
      </c>
      <c r="F26" s="79" t="s">
        <v>20</v>
      </c>
      <c r="G26" s="68">
        <f t="shared" si="1"/>
        <v>83.725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79" t="s">
        <v>130</v>
      </c>
      <c r="B27" s="80">
        <v>198.0</v>
      </c>
      <c r="C27" s="81" t="s">
        <v>131</v>
      </c>
      <c r="D27" s="82">
        <v>46134.0</v>
      </c>
      <c r="E27" s="83" t="s">
        <v>38</v>
      </c>
      <c r="F27" s="79" t="s">
        <v>20</v>
      </c>
      <c r="G27" s="68">
        <f t="shared" si="1"/>
        <v>19.8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79" t="s">
        <v>132</v>
      </c>
      <c r="B28" s="80">
        <v>-61.35</v>
      </c>
      <c r="C28" s="81" t="s">
        <v>133</v>
      </c>
      <c r="D28" s="82">
        <v>46132.0</v>
      </c>
      <c r="E28" s="83" t="s">
        <v>38</v>
      </c>
      <c r="F28" s="79" t="s">
        <v>20</v>
      </c>
      <c r="G28" s="68">
        <f t="shared" si="1"/>
        <v>-6.135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0"/>
      <c r="B29" s="25"/>
      <c r="C29" s="25"/>
      <c r="D29" s="25"/>
      <c r="E29" s="88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0"/>
      <c r="B30" s="25"/>
      <c r="C30" s="25"/>
      <c r="D30" s="25"/>
      <c r="E30" s="88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0"/>
      <c r="B31" s="25"/>
      <c r="C31" s="25"/>
      <c r="D31" s="25"/>
      <c r="E31" s="88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0"/>
      <c r="B32" s="25"/>
      <c r="C32" s="25"/>
      <c r="D32" s="25"/>
      <c r="E32" s="88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0"/>
      <c r="B33" s="25"/>
      <c r="C33" s="25"/>
      <c r="D33" s="25"/>
      <c r="E33" s="88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0"/>
      <c r="B34" s="25"/>
      <c r="C34" s="25"/>
      <c r="D34" s="25"/>
      <c r="E34" s="88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0"/>
      <c r="B35" s="25"/>
      <c r="C35" s="25"/>
      <c r="D35" s="25"/>
      <c r="E35" s="88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0"/>
      <c r="B36" s="25"/>
      <c r="C36" s="25"/>
      <c r="D36" s="25"/>
      <c r="E36" s="88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88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8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8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8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8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8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8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8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8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8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8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8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8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8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8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8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8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8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8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8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8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8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8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8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8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8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8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8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8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8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8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8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8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8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8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8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8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8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8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8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8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8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8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8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8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8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8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8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8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8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8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8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8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8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8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8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8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8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8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8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8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8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8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8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8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8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8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8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8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8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8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8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8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8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8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8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8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8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8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8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8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8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8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8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8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8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8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8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8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8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8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8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8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8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8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8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8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8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8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8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8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8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8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8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8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8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8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68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ref="G166:G211" si="2">B166*0.05</f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si="2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68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91"/>
      <c r="V970" s="91"/>
      <c r="W970" s="91"/>
      <c r="X970" s="91"/>
      <c r="Y970" s="91"/>
      <c r="Z970" s="91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91"/>
      <c r="V971" s="91"/>
      <c r="W971" s="91"/>
      <c r="X971" s="91"/>
      <c r="Y971" s="91"/>
      <c r="Z971" s="91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91"/>
      <c r="V972" s="91"/>
      <c r="W972" s="91"/>
      <c r="X972" s="91"/>
      <c r="Y972" s="91"/>
      <c r="Z972" s="91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91"/>
      <c r="V973" s="91"/>
      <c r="W973" s="91"/>
      <c r="X973" s="91"/>
      <c r="Y973" s="91"/>
      <c r="Z973" s="91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91"/>
      <c r="V974" s="91"/>
      <c r="W974" s="91"/>
      <c r="X974" s="91"/>
      <c r="Y974" s="91"/>
      <c r="Z974" s="91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91"/>
      <c r="V975" s="91"/>
      <c r="W975" s="91"/>
      <c r="X975" s="91"/>
      <c r="Y975" s="91"/>
      <c r="Z975" s="91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91"/>
      <c r="V976" s="91"/>
      <c r="W976" s="91"/>
      <c r="X976" s="91"/>
      <c r="Y976" s="91"/>
      <c r="Z976" s="91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91"/>
      <c r="V977" s="91"/>
      <c r="W977" s="91"/>
      <c r="X977" s="91"/>
      <c r="Y977" s="91"/>
      <c r="Z977" s="91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91"/>
      <c r="V978" s="91"/>
      <c r="W978" s="91"/>
      <c r="X978" s="91"/>
      <c r="Y978" s="91"/>
      <c r="Z978" s="91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91"/>
      <c r="V979" s="91"/>
      <c r="W979" s="91"/>
      <c r="X979" s="91"/>
      <c r="Y979" s="91"/>
      <c r="Z979" s="91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91"/>
      <c r="V980" s="91"/>
      <c r="W980" s="91"/>
      <c r="X980" s="91"/>
      <c r="Y980" s="91"/>
      <c r="Z980" s="91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91"/>
      <c r="V981" s="91"/>
      <c r="W981" s="91"/>
      <c r="X981" s="91"/>
      <c r="Y981" s="91"/>
      <c r="Z981" s="91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91"/>
      <c r="V982" s="91"/>
      <c r="W982" s="91"/>
      <c r="X982" s="91"/>
      <c r="Y982" s="91"/>
      <c r="Z982" s="91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91"/>
      <c r="V983" s="91"/>
      <c r="W983" s="91"/>
      <c r="X983" s="91"/>
      <c r="Y983" s="91"/>
      <c r="Z983" s="91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91"/>
      <c r="V984" s="91"/>
      <c r="W984" s="91"/>
      <c r="X984" s="91"/>
      <c r="Y984" s="91"/>
      <c r="Z984" s="91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91"/>
      <c r="V985" s="91"/>
      <c r="W985" s="91"/>
      <c r="X985" s="91"/>
      <c r="Y985" s="91"/>
      <c r="Z985" s="91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91"/>
      <c r="V986" s="91"/>
      <c r="W986" s="91"/>
      <c r="X986" s="91"/>
      <c r="Y986" s="91"/>
      <c r="Z986" s="91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91"/>
      <c r="V987" s="91"/>
      <c r="W987" s="91"/>
      <c r="X987" s="91"/>
      <c r="Y987" s="91"/>
      <c r="Z987" s="91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91"/>
      <c r="V988" s="91"/>
      <c r="W988" s="91"/>
      <c r="X988" s="91"/>
      <c r="Y988" s="91"/>
      <c r="Z988" s="91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91"/>
      <c r="V989" s="91"/>
      <c r="W989" s="91"/>
      <c r="X989" s="91"/>
      <c r="Y989" s="91"/>
      <c r="Z989" s="91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91"/>
      <c r="V990" s="91"/>
      <c r="W990" s="91"/>
      <c r="X990" s="91"/>
      <c r="Y990" s="91"/>
      <c r="Z990" s="91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91"/>
      <c r="V991" s="91"/>
      <c r="W991" s="91"/>
      <c r="X991" s="91"/>
      <c r="Y991" s="91"/>
      <c r="Z991" s="91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91"/>
      <c r="V992" s="91"/>
      <c r="W992" s="91"/>
      <c r="X992" s="91"/>
      <c r="Y992" s="91"/>
      <c r="Z992" s="91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91"/>
      <c r="V993" s="91"/>
      <c r="W993" s="91"/>
      <c r="X993" s="91"/>
      <c r="Y993" s="91"/>
      <c r="Z993" s="91"/>
    </row>
    <row r="994">
      <c r="A994" s="4"/>
      <c r="B994" s="4"/>
      <c r="C994" s="4"/>
      <c r="D994" s="4"/>
      <c r="E994" s="4"/>
      <c r="F994" s="4"/>
      <c r="G994" s="4"/>
      <c r="H994" s="96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91"/>
      <c r="V994" s="91"/>
      <c r="W994" s="91"/>
      <c r="X994" s="91"/>
      <c r="Y994" s="91"/>
      <c r="Z994" s="91"/>
    </row>
    <row r="995">
      <c r="A995" s="4"/>
      <c r="B995" s="4"/>
      <c r="C995" s="4"/>
      <c r="D995" s="4"/>
      <c r="E995" s="4"/>
      <c r="F995" s="4"/>
      <c r="G995" s="4"/>
      <c r="H995" s="9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91"/>
      <c r="V995" s="91"/>
      <c r="W995" s="91"/>
      <c r="X995" s="91"/>
      <c r="Y995" s="91"/>
      <c r="Z995" s="91"/>
    </row>
    <row r="996">
      <c r="A996" s="4"/>
      <c r="B996" s="4"/>
      <c r="C996" s="4"/>
      <c r="D996" s="4"/>
      <c r="E996" s="4"/>
      <c r="F996" s="4"/>
      <c r="G996" s="4"/>
      <c r="H996" s="9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91"/>
      <c r="V996" s="91"/>
      <c r="W996" s="91"/>
      <c r="X996" s="91"/>
      <c r="Y996" s="91"/>
      <c r="Z996" s="91"/>
    </row>
    <row r="997">
      <c r="A997" s="4"/>
      <c r="B997" s="4"/>
      <c r="C997" s="4"/>
      <c r="D997" s="4"/>
      <c r="E997" s="4"/>
      <c r="F997" s="4"/>
      <c r="G997" s="4"/>
      <c r="H997" s="9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91"/>
      <c r="V997" s="91"/>
      <c r="W997" s="91"/>
      <c r="X997" s="91"/>
      <c r="Y997" s="91"/>
      <c r="Z997" s="91"/>
    </row>
    <row r="998">
      <c r="A998" s="4"/>
      <c r="B998" s="4"/>
      <c r="C998" s="4"/>
      <c r="D998" s="4"/>
      <c r="E998" s="4"/>
      <c r="F998" s="4"/>
      <c r="G998" s="4"/>
      <c r="H998" s="9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91"/>
      <c r="V998" s="91"/>
      <c r="W998" s="91"/>
      <c r="X998" s="91"/>
      <c r="Y998" s="91"/>
      <c r="Z998" s="91"/>
    </row>
    <row r="999">
      <c r="A999" s="4"/>
      <c r="B999" s="4"/>
      <c r="C999" s="4"/>
      <c r="D999" s="4"/>
      <c r="E999" s="4"/>
      <c r="F999" s="4"/>
      <c r="G999" s="4"/>
      <c r="H999" s="9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91"/>
      <c r="V999" s="91"/>
      <c r="W999" s="91"/>
      <c r="X999" s="91"/>
      <c r="Y999" s="91"/>
      <c r="Z999" s="91"/>
    </row>
    <row r="1000">
      <c r="A1000" s="4"/>
      <c r="B1000" s="4"/>
      <c r="C1000" s="4"/>
      <c r="D1000" s="4"/>
      <c r="E1000" s="4"/>
      <c r="F1000" s="4"/>
      <c r="G1000" s="4"/>
      <c r="H1000" s="9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91"/>
      <c r="V1000" s="91"/>
      <c r="W1000" s="91"/>
      <c r="X1000" s="91"/>
      <c r="Y1000" s="91"/>
      <c r="Z1000" s="91"/>
    </row>
    <row r="1001">
      <c r="A1001" s="4"/>
      <c r="B1001" s="4"/>
      <c r="C1001" s="4"/>
      <c r="D1001" s="4"/>
      <c r="E1001" s="4"/>
      <c r="F1001" s="4"/>
      <c r="G1001" s="4"/>
      <c r="H1001" s="9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91"/>
      <c r="V1001" s="91"/>
      <c r="W1001" s="91"/>
      <c r="X1001" s="91"/>
      <c r="Y1001" s="91"/>
      <c r="Z1001" s="91"/>
    </row>
    <row r="1002">
      <c r="A1002" s="4"/>
      <c r="B1002" s="4"/>
      <c r="C1002" s="4"/>
      <c r="D1002" s="4"/>
      <c r="E1002" s="4"/>
      <c r="F1002" s="4"/>
      <c r="G1002" s="4"/>
      <c r="H1002" s="9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91"/>
      <c r="V1002" s="91"/>
      <c r="W1002" s="91"/>
      <c r="X1002" s="91"/>
      <c r="Y1002" s="91"/>
      <c r="Z1002" s="91"/>
    </row>
    <row r="1003">
      <c r="A1003" s="4"/>
      <c r="B1003" s="4"/>
      <c r="C1003" s="4"/>
      <c r="D1003" s="4"/>
      <c r="E1003" s="4"/>
      <c r="F1003" s="4"/>
      <c r="G1003" s="4"/>
      <c r="H1003" s="9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91"/>
      <c r="V1003" s="91"/>
      <c r="W1003" s="91"/>
      <c r="X1003" s="91"/>
      <c r="Y1003" s="91"/>
      <c r="Z1003" s="91"/>
    </row>
    <row r="1004">
      <c r="A1004" s="4"/>
      <c r="B1004" s="4"/>
      <c r="C1004" s="4"/>
      <c r="D1004" s="4"/>
      <c r="E1004" s="4"/>
      <c r="F1004" s="4"/>
      <c r="G1004" s="4"/>
      <c r="H1004" s="9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91"/>
      <c r="V1004" s="91"/>
      <c r="W1004" s="91"/>
      <c r="X1004" s="91"/>
      <c r="Y1004" s="91"/>
      <c r="Z1004" s="91"/>
    </row>
  </sheetData>
  <autoFilter ref="$A$7:$G$211">
    <sortState ref="A7:G211">
      <sortCondition ref="D7:D211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98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98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98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98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98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98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98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2"/>
      <c r="B16" s="80"/>
      <c r="C16" s="93"/>
      <c r="D16" s="94"/>
      <c r="E16" s="95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2"/>
      <c r="B17" s="80"/>
      <c r="C17" s="93"/>
      <c r="D17" s="94"/>
      <c r="E17" s="95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2"/>
      <c r="B18" s="80"/>
      <c r="C18" s="93"/>
      <c r="D18" s="94"/>
      <c r="E18" s="95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84"/>
      <c r="B19" s="85"/>
      <c r="C19" s="86"/>
      <c r="D19" s="87"/>
      <c r="E19" s="88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89"/>
      <c r="B20" s="85"/>
      <c r="C20" s="86"/>
      <c r="D20" s="87"/>
      <c r="E20" s="88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89"/>
      <c r="B21" s="85"/>
      <c r="C21" s="86"/>
      <c r="D21" s="87"/>
      <c r="E21" s="88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84"/>
      <c r="B22" s="85"/>
      <c r="C22" s="86"/>
      <c r="D22" s="87"/>
      <c r="E22" s="88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89"/>
      <c r="B23" s="85"/>
      <c r="C23" s="25"/>
      <c r="D23" s="90"/>
      <c r="E23" s="88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89"/>
      <c r="B24" s="85"/>
      <c r="C24" s="25"/>
      <c r="D24" s="90"/>
      <c r="E24" s="88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89"/>
      <c r="B25" s="85"/>
      <c r="C25" s="25"/>
      <c r="D25" s="90"/>
      <c r="E25" s="88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89"/>
      <c r="B26" s="25"/>
      <c r="C26" s="25"/>
      <c r="D26" s="90"/>
      <c r="E26" s="88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89"/>
      <c r="B27" s="25"/>
      <c r="C27" s="25"/>
      <c r="D27" s="90"/>
      <c r="E27" s="88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89"/>
      <c r="B28" s="25"/>
      <c r="C28" s="25"/>
      <c r="D28" s="90"/>
      <c r="E28" s="88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0"/>
      <c r="B29" s="25"/>
      <c r="C29" s="25"/>
      <c r="D29" s="25"/>
      <c r="E29" s="88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0"/>
      <c r="B30" s="25"/>
      <c r="C30" s="25"/>
      <c r="D30" s="25"/>
      <c r="E30" s="88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0"/>
      <c r="B31" s="25"/>
      <c r="C31" s="25"/>
      <c r="D31" s="25"/>
      <c r="E31" s="88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0"/>
      <c r="B32" s="25"/>
      <c r="C32" s="25"/>
      <c r="D32" s="25"/>
      <c r="E32" s="88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0"/>
      <c r="B33" s="25"/>
      <c r="C33" s="25"/>
      <c r="D33" s="25"/>
      <c r="E33" s="88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0"/>
      <c r="B34" s="25"/>
      <c r="C34" s="25"/>
      <c r="D34" s="25"/>
      <c r="E34" s="88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0"/>
      <c r="B35" s="25"/>
      <c r="C35" s="25"/>
      <c r="D35" s="25"/>
      <c r="E35" s="88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0"/>
      <c r="B36" s="25"/>
      <c r="C36" s="25"/>
      <c r="D36" s="25"/>
      <c r="E36" s="88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90"/>
      <c r="B37" s="25"/>
      <c r="C37" s="25"/>
      <c r="D37" s="25"/>
      <c r="E37" s="88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8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8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8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8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8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8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8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8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8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8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8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8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8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8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8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8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8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8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8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8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8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8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8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8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8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8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8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8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8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8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8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8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8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8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8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8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8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8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8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8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8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8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8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8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8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8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8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8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8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8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8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8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8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8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8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8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8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8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8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8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8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8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8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8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8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8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8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8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8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8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8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8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8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8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8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8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8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8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8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8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8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8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8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8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8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8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8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8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8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8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8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8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8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8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8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8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8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8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8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8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8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8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8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8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8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8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8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91"/>
      <c r="V971" s="91"/>
      <c r="W971" s="91"/>
      <c r="X971" s="91"/>
      <c r="Y971" s="91"/>
      <c r="Z971" s="91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91"/>
      <c r="V972" s="91"/>
      <c r="W972" s="91"/>
      <c r="X972" s="91"/>
      <c r="Y972" s="91"/>
      <c r="Z972" s="91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91"/>
      <c r="V973" s="91"/>
      <c r="W973" s="91"/>
      <c r="X973" s="91"/>
      <c r="Y973" s="91"/>
      <c r="Z973" s="91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91"/>
      <c r="V974" s="91"/>
      <c r="W974" s="91"/>
      <c r="X974" s="91"/>
      <c r="Y974" s="91"/>
      <c r="Z974" s="91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91"/>
      <c r="V975" s="91"/>
      <c r="W975" s="91"/>
      <c r="X975" s="91"/>
      <c r="Y975" s="91"/>
      <c r="Z975" s="91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91"/>
      <c r="V976" s="91"/>
      <c r="W976" s="91"/>
      <c r="X976" s="91"/>
      <c r="Y976" s="91"/>
      <c r="Z976" s="91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91"/>
      <c r="V977" s="91"/>
      <c r="W977" s="91"/>
      <c r="X977" s="91"/>
      <c r="Y977" s="91"/>
      <c r="Z977" s="91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91"/>
      <c r="V978" s="91"/>
      <c r="W978" s="91"/>
      <c r="X978" s="91"/>
      <c r="Y978" s="91"/>
      <c r="Z978" s="91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91"/>
      <c r="V979" s="91"/>
      <c r="W979" s="91"/>
      <c r="X979" s="91"/>
      <c r="Y979" s="91"/>
      <c r="Z979" s="91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91"/>
      <c r="V980" s="91"/>
      <c r="W980" s="91"/>
      <c r="X980" s="91"/>
      <c r="Y980" s="91"/>
      <c r="Z980" s="91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91"/>
      <c r="V981" s="91"/>
      <c r="W981" s="91"/>
      <c r="X981" s="91"/>
      <c r="Y981" s="91"/>
      <c r="Z981" s="91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91"/>
      <c r="V982" s="91"/>
      <c r="W982" s="91"/>
      <c r="X982" s="91"/>
      <c r="Y982" s="91"/>
      <c r="Z982" s="91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91"/>
      <c r="V983" s="91"/>
      <c r="W983" s="91"/>
      <c r="X983" s="91"/>
      <c r="Y983" s="91"/>
      <c r="Z983" s="91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91"/>
      <c r="V984" s="91"/>
      <c r="W984" s="91"/>
      <c r="X984" s="91"/>
      <c r="Y984" s="91"/>
      <c r="Z984" s="91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91"/>
      <c r="V985" s="91"/>
      <c r="W985" s="91"/>
      <c r="X985" s="91"/>
      <c r="Y985" s="91"/>
      <c r="Z985" s="91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91"/>
      <c r="V986" s="91"/>
      <c r="W986" s="91"/>
      <c r="X986" s="91"/>
      <c r="Y986" s="91"/>
      <c r="Z986" s="91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91"/>
      <c r="V987" s="91"/>
      <c r="W987" s="91"/>
      <c r="X987" s="91"/>
      <c r="Y987" s="91"/>
      <c r="Z987" s="91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91"/>
      <c r="V988" s="91"/>
      <c r="W988" s="91"/>
      <c r="X988" s="91"/>
      <c r="Y988" s="91"/>
      <c r="Z988" s="91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91"/>
      <c r="V989" s="91"/>
      <c r="W989" s="91"/>
      <c r="X989" s="91"/>
      <c r="Y989" s="91"/>
      <c r="Z989" s="91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91"/>
      <c r="V990" s="91"/>
      <c r="W990" s="91"/>
      <c r="X990" s="91"/>
      <c r="Y990" s="91"/>
      <c r="Z990" s="91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91"/>
      <c r="V991" s="91"/>
      <c r="W991" s="91"/>
      <c r="X991" s="91"/>
      <c r="Y991" s="91"/>
      <c r="Z991" s="91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91"/>
      <c r="V992" s="91"/>
      <c r="W992" s="91"/>
      <c r="X992" s="91"/>
      <c r="Y992" s="91"/>
      <c r="Z992" s="91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91"/>
      <c r="V993" s="91"/>
      <c r="W993" s="91"/>
      <c r="X993" s="91"/>
      <c r="Y993" s="91"/>
      <c r="Z993" s="91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91"/>
      <c r="V994" s="91"/>
      <c r="W994" s="91"/>
      <c r="X994" s="91"/>
      <c r="Y994" s="91"/>
      <c r="Z994" s="91"/>
    </row>
    <row r="995">
      <c r="A995" s="4"/>
      <c r="B995" s="4"/>
      <c r="C995" s="4"/>
      <c r="D995" s="4"/>
      <c r="E995" s="4"/>
      <c r="F995" s="4"/>
      <c r="G995" s="4"/>
      <c r="H995" s="9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91"/>
      <c r="V995" s="91"/>
      <c r="W995" s="91"/>
      <c r="X995" s="91"/>
      <c r="Y995" s="91"/>
      <c r="Z995" s="91"/>
    </row>
    <row r="996">
      <c r="A996" s="4"/>
      <c r="B996" s="4"/>
      <c r="C996" s="4"/>
      <c r="D996" s="4"/>
      <c r="E996" s="4"/>
      <c r="F996" s="4"/>
      <c r="G996" s="4"/>
      <c r="H996" s="9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91"/>
      <c r="V996" s="91"/>
      <c r="W996" s="91"/>
      <c r="X996" s="91"/>
      <c r="Y996" s="91"/>
      <c r="Z996" s="91"/>
    </row>
    <row r="997">
      <c r="A997" s="4"/>
      <c r="B997" s="4"/>
      <c r="C997" s="4"/>
      <c r="D997" s="4"/>
      <c r="E997" s="4"/>
      <c r="F997" s="4"/>
      <c r="G997" s="4"/>
      <c r="H997" s="9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91"/>
      <c r="V997" s="91"/>
      <c r="W997" s="91"/>
      <c r="X997" s="91"/>
      <c r="Y997" s="91"/>
      <c r="Z997" s="91"/>
    </row>
    <row r="998">
      <c r="A998" s="4"/>
      <c r="B998" s="4"/>
      <c r="C998" s="4"/>
      <c r="D998" s="4"/>
      <c r="E998" s="4"/>
      <c r="F998" s="4"/>
      <c r="G998" s="4"/>
      <c r="H998" s="9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91"/>
      <c r="V998" s="91"/>
      <c r="W998" s="91"/>
      <c r="X998" s="91"/>
      <c r="Y998" s="91"/>
      <c r="Z998" s="91"/>
    </row>
    <row r="999">
      <c r="A999" s="4"/>
      <c r="B999" s="4"/>
      <c r="C999" s="4"/>
      <c r="D999" s="4"/>
      <c r="E999" s="4"/>
      <c r="F999" s="4"/>
      <c r="G999" s="4"/>
      <c r="H999" s="9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91"/>
      <c r="V999" s="91"/>
      <c r="W999" s="91"/>
      <c r="X999" s="91"/>
      <c r="Y999" s="91"/>
      <c r="Z999" s="91"/>
    </row>
    <row r="1000">
      <c r="A1000" s="4"/>
      <c r="B1000" s="4"/>
      <c r="C1000" s="4"/>
      <c r="D1000" s="4"/>
      <c r="E1000" s="4"/>
      <c r="F1000" s="4"/>
      <c r="G1000" s="4"/>
      <c r="H1000" s="9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91"/>
      <c r="V1000" s="91"/>
      <c r="W1000" s="91"/>
      <c r="X1000" s="91"/>
      <c r="Y1000" s="91"/>
      <c r="Z1000" s="91"/>
    </row>
    <row r="1001">
      <c r="A1001" s="4"/>
      <c r="B1001" s="4"/>
      <c r="C1001" s="4"/>
      <c r="D1001" s="4"/>
      <c r="E1001" s="4"/>
      <c r="F1001" s="4"/>
      <c r="G1001" s="4"/>
      <c r="H1001" s="9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91"/>
      <c r="V1001" s="91"/>
      <c r="W1001" s="91"/>
      <c r="X1001" s="91"/>
      <c r="Y1001" s="91"/>
      <c r="Z1001" s="91"/>
    </row>
    <row r="1002">
      <c r="A1002" s="4"/>
      <c r="B1002" s="4"/>
      <c r="C1002" s="4"/>
      <c r="D1002" s="4"/>
      <c r="E1002" s="4"/>
      <c r="F1002" s="4"/>
      <c r="G1002" s="4"/>
      <c r="H1002" s="9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91"/>
      <c r="V1002" s="91"/>
      <c r="W1002" s="91"/>
      <c r="X1002" s="91"/>
      <c r="Y1002" s="91"/>
      <c r="Z1002" s="91"/>
    </row>
    <row r="1003">
      <c r="A1003" s="4"/>
      <c r="B1003" s="4"/>
      <c r="C1003" s="4"/>
      <c r="D1003" s="4"/>
      <c r="E1003" s="4"/>
      <c r="F1003" s="4"/>
      <c r="G1003" s="4"/>
      <c r="H1003" s="9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91"/>
      <c r="V1003" s="91"/>
      <c r="W1003" s="91"/>
      <c r="X1003" s="91"/>
      <c r="Y1003" s="91"/>
      <c r="Z1003" s="91"/>
    </row>
    <row r="1004">
      <c r="A1004" s="4"/>
      <c r="B1004" s="4"/>
      <c r="C1004" s="4"/>
      <c r="D1004" s="4"/>
      <c r="E1004" s="4"/>
      <c r="F1004" s="4"/>
      <c r="G1004" s="4"/>
      <c r="H1004" s="9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91"/>
      <c r="V1004" s="91"/>
      <c r="W1004" s="91"/>
      <c r="X1004" s="91"/>
      <c r="Y1004" s="91"/>
      <c r="Z1004" s="91"/>
    </row>
    <row r="1005">
      <c r="A1005" s="4"/>
      <c r="B1005" s="4"/>
      <c r="C1005" s="4"/>
      <c r="D1005" s="4"/>
      <c r="E1005" s="4"/>
      <c r="F1005" s="4"/>
      <c r="G1005" s="4"/>
      <c r="H1005" s="9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91"/>
      <c r="V1005" s="91"/>
      <c r="W1005" s="91"/>
      <c r="X1005" s="91"/>
      <c r="Y1005" s="91"/>
      <c r="Z1005" s="9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98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98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98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98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98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98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98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2"/>
      <c r="B16" s="80"/>
      <c r="C16" s="93"/>
      <c r="D16" s="94"/>
      <c r="E16" s="95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2"/>
      <c r="B17" s="80"/>
      <c r="C17" s="93"/>
      <c r="D17" s="94"/>
      <c r="E17" s="95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2"/>
      <c r="B18" s="80"/>
      <c r="C18" s="93"/>
      <c r="D18" s="94"/>
      <c r="E18" s="95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84"/>
      <c r="B19" s="85"/>
      <c r="C19" s="86"/>
      <c r="D19" s="87"/>
      <c r="E19" s="88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89"/>
      <c r="B20" s="85"/>
      <c r="C20" s="86"/>
      <c r="D20" s="87"/>
      <c r="E20" s="88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89"/>
      <c r="B21" s="85"/>
      <c r="C21" s="86"/>
      <c r="D21" s="87"/>
      <c r="E21" s="88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84"/>
      <c r="B22" s="85"/>
      <c r="C22" s="86"/>
      <c r="D22" s="87"/>
      <c r="E22" s="88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89"/>
      <c r="B23" s="85"/>
      <c r="C23" s="25"/>
      <c r="D23" s="90"/>
      <c r="E23" s="88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89"/>
      <c r="B24" s="85"/>
      <c r="C24" s="25"/>
      <c r="D24" s="90"/>
      <c r="E24" s="88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89"/>
      <c r="B25" s="85"/>
      <c r="C25" s="25"/>
      <c r="D25" s="90"/>
      <c r="E25" s="88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89"/>
      <c r="B26" s="25"/>
      <c r="C26" s="25"/>
      <c r="D26" s="90"/>
      <c r="E26" s="88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89"/>
      <c r="B27" s="25"/>
      <c r="C27" s="25"/>
      <c r="D27" s="90"/>
      <c r="E27" s="88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89"/>
      <c r="B28" s="25"/>
      <c r="C28" s="25"/>
      <c r="D28" s="90"/>
      <c r="E28" s="88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0"/>
      <c r="B29" s="25"/>
      <c r="C29" s="25"/>
      <c r="D29" s="25"/>
      <c r="E29" s="88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0"/>
      <c r="B30" s="25"/>
      <c r="C30" s="25"/>
      <c r="D30" s="25"/>
      <c r="E30" s="88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0"/>
      <c r="B31" s="25"/>
      <c r="C31" s="25"/>
      <c r="D31" s="25"/>
      <c r="E31" s="88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0"/>
      <c r="B32" s="25"/>
      <c r="C32" s="25"/>
      <c r="D32" s="25"/>
      <c r="E32" s="88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0"/>
      <c r="B33" s="25"/>
      <c r="C33" s="25"/>
      <c r="D33" s="25"/>
      <c r="E33" s="88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0"/>
      <c r="B34" s="25"/>
      <c r="C34" s="25"/>
      <c r="D34" s="25"/>
      <c r="E34" s="88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0"/>
      <c r="B35" s="25"/>
      <c r="C35" s="25"/>
      <c r="D35" s="25"/>
      <c r="E35" s="88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0"/>
      <c r="B36" s="25"/>
      <c r="C36" s="25"/>
      <c r="D36" s="25"/>
      <c r="E36" s="88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90"/>
      <c r="B37" s="25"/>
      <c r="C37" s="25"/>
      <c r="D37" s="25"/>
      <c r="E37" s="88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8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8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8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8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8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8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8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8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8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8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8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8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8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8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8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8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8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8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8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8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8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8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8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8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8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8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8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8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8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8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8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8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8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8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8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8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8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8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8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8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8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8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8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8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8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8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8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8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8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8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8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8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8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8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8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8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8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8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8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8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8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8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8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8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8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8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8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8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8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8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8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8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8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8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8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8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8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8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8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8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8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8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8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8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8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8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8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8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8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8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8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8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8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8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8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8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8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8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8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8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8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8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8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8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8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8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8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91"/>
      <c r="V971" s="91"/>
      <c r="W971" s="91"/>
      <c r="X971" s="91"/>
      <c r="Y971" s="91"/>
      <c r="Z971" s="91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91"/>
      <c r="V972" s="91"/>
      <c r="W972" s="91"/>
      <c r="X972" s="91"/>
      <c r="Y972" s="91"/>
      <c r="Z972" s="91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91"/>
      <c r="V973" s="91"/>
      <c r="W973" s="91"/>
      <c r="X973" s="91"/>
      <c r="Y973" s="91"/>
      <c r="Z973" s="91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91"/>
      <c r="V974" s="91"/>
      <c r="W974" s="91"/>
      <c r="X974" s="91"/>
      <c r="Y974" s="91"/>
      <c r="Z974" s="91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91"/>
      <c r="V975" s="91"/>
      <c r="W975" s="91"/>
      <c r="X975" s="91"/>
      <c r="Y975" s="91"/>
      <c r="Z975" s="91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91"/>
      <c r="V976" s="91"/>
      <c r="W976" s="91"/>
      <c r="X976" s="91"/>
      <c r="Y976" s="91"/>
      <c r="Z976" s="91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91"/>
      <c r="V977" s="91"/>
      <c r="W977" s="91"/>
      <c r="X977" s="91"/>
      <c r="Y977" s="91"/>
      <c r="Z977" s="91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91"/>
      <c r="V978" s="91"/>
      <c r="W978" s="91"/>
      <c r="X978" s="91"/>
      <c r="Y978" s="91"/>
      <c r="Z978" s="91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91"/>
      <c r="V979" s="91"/>
      <c r="W979" s="91"/>
      <c r="X979" s="91"/>
      <c r="Y979" s="91"/>
      <c r="Z979" s="91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91"/>
      <c r="V980" s="91"/>
      <c r="W980" s="91"/>
      <c r="X980" s="91"/>
      <c r="Y980" s="91"/>
      <c r="Z980" s="91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91"/>
      <c r="V981" s="91"/>
      <c r="W981" s="91"/>
      <c r="X981" s="91"/>
      <c r="Y981" s="91"/>
      <c r="Z981" s="91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91"/>
      <c r="V982" s="91"/>
      <c r="W982" s="91"/>
      <c r="X982" s="91"/>
      <c r="Y982" s="91"/>
      <c r="Z982" s="91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91"/>
      <c r="V983" s="91"/>
      <c r="W983" s="91"/>
      <c r="X983" s="91"/>
      <c r="Y983" s="91"/>
      <c r="Z983" s="91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91"/>
      <c r="V984" s="91"/>
      <c r="W984" s="91"/>
      <c r="X984" s="91"/>
      <c r="Y984" s="91"/>
      <c r="Z984" s="91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91"/>
      <c r="V985" s="91"/>
      <c r="W985" s="91"/>
      <c r="X985" s="91"/>
      <c r="Y985" s="91"/>
      <c r="Z985" s="91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91"/>
      <c r="V986" s="91"/>
      <c r="W986" s="91"/>
      <c r="X986" s="91"/>
      <c r="Y986" s="91"/>
      <c r="Z986" s="91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91"/>
      <c r="V987" s="91"/>
      <c r="W987" s="91"/>
      <c r="X987" s="91"/>
      <c r="Y987" s="91"/>
      <c r="Z987" s="91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91"/>
      <c r="V988" s="91"/>
      <c r="W988" s="91"/>
      <c r="X988" s="91"/>
      <c r="Y988" s="91"/>
      <c r="Z988" s="91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91"/>
      <c r="V989" s="91"/>
      <c r="W989" s="91"/>
      <c r="X989" s="91"/>
      <c r="Y989" s="91"/>
      <c r="Z989" s="91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91"/>
      <c r="V990" s="91"/>
      <c r="W990" s="91"/>
      <c r="X990" s="91"/>
      <c r="Y990" s="91"/>
      <c r="Z990" s="91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91"/>
      <c r="V991" s="91"/>
      <c r="W991" s="91"/>
      <c r="X991" s="91"/>
      <c r="Y991" s="91"/>
      <c r="Z991" s="91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91"/>
      <c r="V992" s="91"/>
      <c r="W992" s="91"/>
      <c r="X992" s="91"/>
      <c r="Y992" s="91"/>
      <c r="Z992" s="91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91"/>
      <c r="V993" s="91"/>
      <c r="W993" s="91"/>
      <c r="X993" s="91"/>
      <c r="Y993" s="91"/>
      <c r="Z993" s="91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91"/>
      <c r="V994" s="91"/>
      <c r="W994" s="91"/>
      <c r="X994" s="91"/>
      <c r="Y994" s="91"/>
      <c r="Z994" s="91"/>
    </row>
    <row r="995">
      <c r="A995" s="4"/>
      <c r="B995" s="4"/>
      <c r="C995" s="4"/>
      <c r="D995" s="4"/>
      <c r="E995" s="4"/>
      <c r="F995" s="4"/>
      <c r="G995" s="4"/>
      <c r="H995" s="9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91"/>
      <c r="V995" s="91"/>
      <c r="W995" s="91"/>
      <c r="X995" s="91"/>
      <c r="Y995" s="91"/>
      <c r="Z995" s="91"/>
    </row>
    <row r="996">
      <c r="A996" s="4"/>
      <c r="B996" s="4"/>
      <c r="C996" s="4"/>
      <c r="D996" s="4"/>
      <c r="E996" s="4"/>
      <c r="F996" s="4"/>
      <c r="G996" s="4"/>
      <c r="H996" s="9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91"/>
      <c r="V996" s="91"/>
      <c r="W996" s="91"/>
      <c r="X996" s="91"/>
      <c r="Y996" s="91"/>
      <c r="Z996" s="91"/>
    </row>
    <row r="997">
      <c r="A997" s="4"/>
      <c r="B997" s="4"/>
      <c r="C997" s="4"/>
      <c r="D997" s="4"/>
      <c r="E997" s="4"/>
      <c r="F997" s="4"/>
      <c r="G997" s="4"/>
      <c r="H997" s="9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91"/>
      <c r="V997" s="91"/>
      <c r="W997" s="91"/>
      <c r="X997" s="91"/>
      <c r="Y997" s="91"/>
      <c r="Z997" s="91"/>
    </row>
    <row r="998">
      <c r="A998" s="4"/>
      <c r="B998" s="4"/>
      <c r="C998" s="4"/>
      <c r="D998" s="4"/>
      <c r="E998" s="4"/>
      <c r="F998" s="4"/>
      <c r="G998" s="4"/>
      <c r="H998" s="9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91"/>
      <c r="V998" s="91"/>
      <c r="W998" s="91"/>
      <c r="X998" s="91"/>
      <c r="Y998" s="91"/>
      <c r="Z998" s="91"/>
    </row>
    <row r="999">
      <c r="A999" s="4"/>
      <c r="B999" s="4"/>
      <c r="C999" s="4"/>
      <c r="D999" s="4"/>
      <c r="E999" s="4"/>
      <c r="F999" s="4"/>
      <c r="G999" s="4"/>
      <c r="H999" s="9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91"/>
      <c r="V999" s="91"/>
      <c r="W999" s="91"/>
      <c r="X999" s="91"/>
      <c r="Y999" s="91"/>
      <c r="Z999" s="91"/>
    </row>
    <row r="1000">
      <c r="A1000" s="4"/>
      <c r="B1000" s="4"/>
      <c r="C1000" s="4"/>
      <c r="D1000" s="4"/>
      <c r="E1000" s="4"/>
      <c r="F1000" s="4"/>
      <c r="G1000" s="4"/>
      <c r="H1000" s="9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91"/>
      <c r="V1000" s="91"/>
      <c r="W1000" s="91"/>
      <c r="X1000" s="91"/>
      <c r="Y1000" s="91"/>
      <c r="Z1000" s="91"/>
    </row>
    <row r="1001">
      <c r="A1001" s="4"/>
      <c r="B1001" s="4"/>
      <c r="C1001" s="4"/>
      <c r="D1001" s="4"/>
      <c r="E1001" s="4"/>
      <c r="F1001" s="4"/>
      <c r="G1001" s="4"/>
      <c r="H1001" s="9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91"/>
      <c r="V1001" s="91"/>
      <c r="W1001" s="91"/>
      <c r="X1001" s="91"/>
      <c r="Y1001" s="91"/>
      <c r="Z1001" s="91"/>
    </row>
    <row r="1002">
      <c r="A1002" s="4"/>
      <c r="B1002" s="4"/>
      <c r="C1002" s="4"/>
      <c r="D1002" s="4"/>
      <c r="E1002" s="4"/>
      <c r="F1002" s="4"/>
      <c r="G1002" s="4"/>
      <c r="H1002" s="9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91"/>
      <c r="V1002" s="91"/>
      <c r="W1002" s="91"/>
      <c r="X1002" s="91"/>
      <c r="Y1002" s="91"/>
      <c r="Z1002" s="91"/>
    </row>
    <row r="1003">
      <c r="A1003" s="4"/>
      <c r="B1003" s="4"/>
      <c r="C1003" s="4"/>
      <c r="D1003" s="4"/>
      <c r="E1003" s="4"/>
      <c r="F1003" s="4"/>
      <c r="G1003" s="4"/>
      <c r="H1003" s="9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91"/>
      <c r="V1003" s="91"/>
      <c r="W1003" s="91"/>
      <c r="X1003" s="91"/>
      <c r="Y1003" s="91"/>
      <c r="Z1003" s="91"/>
    </row>
    <row r="1004">
      <c r="A1004" s="4"/>
      <c r="B1004" s="4"/>
      <c r="C1004" s="4"/>
      <c r="D1004" s="4"/>
      <c r="E1004" s="4"/>
      <c r="F1004" s="4"/>
      <c r="G1004" s="4"/>
      <c r="H1004" s="9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91"/>
      <c r="V1004" s="91"/>
      <c r="W1004" s="91"/>
      <c r="X1004" s="91"/>
      <c r="Y1004" s="91"/>
      <c r="Z1004" s="91"/>
    </row>
    <row r="1005">
      <c r="A1005" s="4"/>
      <c r="B1005" s="4"/>
      <c r="C1005" s="4"/>
      <c r="D1005" s="4"/>
      <c r="E1005" s="4"/>
      <c r="F1005" s="4"/>
      <c r="G1005" s="4"/>
      <c r="H1005" s="9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91"/>
      <c r="V1005" s="91"/>
      <c r="W1005" s="91"/>
      <c r="X1005" s="91"/>
      <c r="Y1005" s="91"/>
      <c r="Z1005" s="9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98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98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98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98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98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98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98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2"/>
      <c r="B16" s="80"/>
      <c r="C16" s="93"/>
      <c r="D16" s="94"/>
      <c r="E16" s="95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2"/>
      <c r="B17" s="80"/>
      <c r="C17" s="93"/>
      <c r="D17" s="94"/>
      <c r="E17" s="95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2"/>
      <c r="B18" s="80"/>
      <c r="C18" s="93"/>
      <c r="D18" s="94"/>
      <c r="E18" s="95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84"/>
      <c r="B19" s="85"/>
      <c r="C19" s="86"/>
      <c r="D19" s="87"/>
      <c r="E19" s="88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89"/>
      <c r="B20" s="85"/>
      <c r="C20" s="86"/>
      <c r="D20" s="87"/>
      <c r="E20" s="88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89"/>
      <c r="B21" s="85"/>
      <c r="C21" s="86"/>
      <c r="D21" s="87"/>
      <c r="E21" s="88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84"/>
      <c r="B22" s="85"/>
      <c r="C22" s="86"/>
      <c r="D22" s="87"/>
      <c r="E22" s="88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89"/>
      <c r="B23" s="85"/>
      <c r="C23" s="25"/>
      <c r="D23" s="90"/>
      <c r="E23" s="88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89"/>
      <c r="B24" s="85"/>
      <c r="C24" s="25"/>
      <c r="D24" s="90"/>
      <c r="E24" s="88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89"/>
      <c r="B25" s="85"/>
      <c r="C25" s="25"/>
      <c r="D25" s="90"/>
      <c r="E25" s="88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89"/>
      <c r="B26" s="25"/>
      <c r="C26" s="25"/>
      <c r="D26" s="90"/>
      <c r="E26" s="88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89"/>
      <c r="B27" s="25"/>
      <c r="C27" s="25"/>
      <c r="D27" s="90"/>
      <c r="E27" s="88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89"/>
      <c r="B28" s="25"/>
      <c r="C28" s="25"/>
      <c r="D28" s="90"/>
      <c r="E28" s="88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0"/>
      <c r="B29" s="25"/>
      <c r="C29" s="25"/>
      <c r="D29" s="25"/>
      <c r="E29" s="88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0"/>
      <c r="B30" s="25"/>
      <c r="C30" s="25"/>
      <c r="D30" s="25"/>
      <c r="E30" s="88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0"/>
      <c r="B31" s="25"/>
      <c r="C31" s="25"/>
      <c r="D31" s="25"/>
      <c r="E31" s="88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0"/>
      <c r="B32" s="25"/>
      <c r="C32" s="25"/>
      <c r="D32" s="25"/>
      <c r="E32" s="88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0"/>
      <c r="B33" s="25"/>
      <c r="C33" s="25"/>
      <c r="D33" s="25"/>
      <c r="E33" s="88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0"/>
      <c r="B34" s="25"/>
      <c r="C34" s="25"/>
      <c r="D34" s="25"/>
      <c r="E34" s="88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0"/>
      <c r="B35" s="25"/>
      <c r="C35" s="25"/>
      <c r="D35" s="25"/>
      <c r="E35" s="88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0"/>
      <c r="B36" s="25"/>
      <c r="C36" s="25"/>
      <c r="D36" s="25"/>
      <c r="E36" s="88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90"/>
      <c r="B37" s="25"/>
      <c r="C37" s="25"/>
      <c r="D37" s="25"/>
      <c r="E37" s="88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8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8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8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8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8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8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8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8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8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8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8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8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8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8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8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8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8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8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8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8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8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8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8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8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8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8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8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8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8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8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8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8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8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8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8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8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8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8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8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8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8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8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8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8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8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8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8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8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8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8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8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8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8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8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8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8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8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8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8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8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8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8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8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8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8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8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8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8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8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8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8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8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8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8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8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8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8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8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8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8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8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8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8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8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8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8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8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8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8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8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8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8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8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8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8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8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8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8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8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8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8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8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8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8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8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8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8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91"/>
      <c r="V971" s="91"/>
      <c r="W971" s="91"/>
      <c r="X971" s="91"/>
      <c r="Y971" s="91"/>
      <c r="Z971" s="91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91"/>
      <c r="V972" s="91"/>
      <c r="W972" s="91"/>
      <c r="X972" s="91"/>
      <c r="Y972" s="91"/>
      <c r="Z972" s="91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91"/>
      <c r="V973" s="91"/>
      <c r="W973" s="91"/>
      <c r="X973" s="91"/>
      <c r="Y973" s="91"/>
      <c r="Z973" s="91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91"/>
      <c r="V974" s="91"/>
      <c r="W974" s="91"/>
      <c r="X974" s="91"/>
      <c r="Y974" s="91"/>
      <c r="Z974" s="91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91"/>
      <c r="V975" s="91"/>
      <c r="W975" s="91"/>
      <c r="X975" s="91"/>
      <c r="Y975" s="91"/>
      <c r="Z975" s="91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91"/>
      <c r="V976" s="91"/>
      <c r="W976" s="91"/>
      <c r="X976" s="91"/>
      <c r="Y976" s="91"/>
      <c r="Z976" s="91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91"/>
      <c r="V977" s="91"/>
      <c r="W977" s="91"/>
      <c r="X977" s="91"/>
      <c r="Y977" s="91"/>
      <c r="Z977" s="91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91"/>
      <c r="V978" s="91"/>
      <c r="W978" s="91"/>
      <c r="X978" s="91"/>
      <c r="Y978" s="91"/>
      <c r="Z978" s="91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91"/>
      <c r="V979" s="91"/>
      <c r="W979" s="91"/>
      <c r="X979" s="91"/>
      <c r="Y979" s="91"/>
      <c r="Z979" s="91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91"/>
      <c r="V980" s="91"/>
      <c r="W980" s="91"/>
      <c r="X980" s="91"/>
      <c r="Y980" s="91"/>
      <c r="Z980" s="91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91"/>
      <c r="V981" s="91"/>
      <c r="W981" s="91"/>
      <c r="X981" s="91"/>
      <c r="Y981" s="91"/>
      <c r="Z981" s="91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91"/>
      <c r="V982" s="91"/>
      <c r="W982" s="91"/>
      <c r="X982" s="91"/>
      <c r="Y982" s="91"/>
      <c r="Z982" s="91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91"/>
      <c r="V983" s="91"/>
      <c r="W983" s="91"/>
      <c r="X983" s="91"/>
      <c r="Y983" s="91"/>
      <c r="Z983" s="91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91"/>
      <c r="V984" s="91"/>
      <c r="W984" s="91"/>
      <c r="X984" s="91"/>
      <c r="Y984" s="91"/>
      <c r="Z984" s="91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91"/>
      <c r="V985" s="91"/>
      <c r="W985" s="91"/>
      <c r="X985" s="91"/>
      <c r="Y985" s="91"/>
      <c r="Z985" s="91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91"/>
      <c r="V986" s="91"/>
      <c r="W986" s="91"/>
      <c r="X986" s="91"/>
      <c r="Y986" s="91"/>
      <c r="Z986" s="91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91"/>
      <c r="V987" s="91"/>
      <c r="W987" s="91"/>
      <c r="X987" s="91"/>
      <c r="Y987" s="91"/>
      <c r="Z987" s="91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91"/>
      <c r="V988" s="91"/>
      <c r="W988" s="91"/>
      <c r="X988" s="91"/>
      <c r="Y988" s="91"/>
      <c r="Z988" s="91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91"/>
      <c r="V989" s="91"/>
      <c r="W989" s="91"/>
      <c r="X989" s="91"/>
      <c r="Y989" s="91"/>
      <c r="Z989" s="91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91"/>
      <c r="V990" s="91"/>
      <c r="W990" s="91"/>
      <c r="X990" s="91"/>
      <c r="Y990" s="91"/>
      <c r="Z990" s="91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91"/>
      <c r="V991" s="91"/>
      <c r="W991" s="91"/>
      <c r="X991" s="91"/>
      <c r="Y991" s="91"/>
      <c r="Z991" s="91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91"/>
      <c r="V992" s="91"/>
      <c r="W992" s="91"/>
      <c r="X992" s="91"/>
      <c r="Y992" s="91"/>
      <c r="Z992" s="91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91"/>
      <c r="V993" s="91"/>
      <c r="W993" s="91"/>
      <c r="X993" s="91"/>
      <c r="Y993" s="91"/>
      <c r="Z993" s="91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91"/>
      <c r="V994" s="91"/>
      <c r="W994" s="91"/>
      <c r="X994" s="91"/>
      <c r="Y994" s="91"/>
      <c r="Z994" s="91"/>
    </row>
    <row r="995">
      <c r="A995" s="4"/>
      <c r="B995" s="4"/>
      <c r="C995" s="4"/>
      <c r="D995" s="4"/>
      <c r="E995" s="4"/>
      <c r="F995" s="4"/>
      <c r="G995" s="4"/>
      <c r="H995" s="9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91"/>
      <c r="V995" s="91"/>
      <c r="W995" s="91"/>
      <c r="X995" s="91"/>
      <c r="Y995" s="91"/>
      <c r="Z995" s="91"/>
    </row>
    <row r="996">
      <c r="A996" s="4"/>
      <c r="B996" s="4"/>
      <c r="C996" s="4"/>
      <c r="D996" s="4"/>
      <c r="E996" s="4"/>
      <c r="F996" s="4"/>
      <c r="G996" s="4"/>
      <c r="H996" s="9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91"/>
      <c r="V996" s="91"/>
      <c r="W996" s="91"/>
      <c r="X996" s="91"/>
      <c r="Y996" s="91"/>
      <c r="Z996" s="91"/>
    </row>
    <row r="997">
      <c r="A997" s="4"/>
      <c r="B997" s="4"/>
      <c r="C997" s="4"/>
      <c r="D997" s="4"/>
      <c r="E997" s="4"/>
      <c r="F997" s="4"/>
      <c r="G997" s="4"/>
      <c r="H997" s="9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91"/>
      <c r="V997" s="91"/>
      <c r="W997" s="91"/>
      <c r="X997" s="91"/>
      <c r="Y997" s="91"/>
      <c r="Z997" s="91"/>
    </row>
    <row r="998">
      <c r="A998" s="4"/>
      <c r="B998" s="4"/>
      <c r="C998" s="4"/>
      <c r="D998" s="4"/>
      <c r="E998" s="4"/>
      <c r="F998" s="4"/>
      <c r="G998" s="4"/>
      <c r="H998" s="9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91"/>
      <c r="V998" s="91"/>
      <c r="W998" s="91"/>
      <c r="X998" s="91"/>
      <c r="Y998" s="91"/>
      <c r="Z998" s="91"/>
    </row>
    <row r="999">
      <c r="A999" s="4"/>
      <c r="B999" s="4"/>
      <c r="C999" s="4"/>
      <c r="D999" s="4"/>
      <c r="E999" s="4"/>
      <c r="F999" s="4"/>
      <c r="G999" s="4"/>
      <c r="H999" s="9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91"/>
      <c r="V999" s="91"/>
      <c r="W999" s="91"/>
      <c r="X999" s="91"/>
      <c r="Y999" s="91"/>
      <c r="Z999" s="91"/>
    </row>
    <row r="1000">
      <c r="A1000" s="4"/>
      <c r="B1000" s="4"/>
      <c r="C1000" s="4"/>
      <c r="D1000" s="4"/>
      <c r="E1000" s="4"/>
      <c r="F1000" s="4"/>
      <c r="G1000" s="4"/>
      <c r="H1000" s="9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91"/>
      <c r="V1000" s="91"/>
      <c r="W1000" s="91"/>
      <c r="X1000" s="91"/>
      <c r="Y1000" s="91"/>
      <c r="Z1000" s="91"/>
    </row>
    <row r="1001">
      <c r="A1001" s="4"/>
      <c r="B1001" s="4"/>
      <c r="C1001" s="4"/>
      <c r="D1001" s="4"/>
      <c r="E1001" s="4"/>
      <c r="F1001" s="4"/>
      <c r="G1001" s="4"/>
      <c r="H1001" s="9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91"/>
      <c r="V1001" s="91"/>
      <c r="W1001" s="91"/>
      <c r="X1001" s="91"/>
      <c r="Y1001" s="91"/>
      <c r="Z1001" s="91"/>
    </row>
    <row r="1002">
      <c r="A1002" s="4"/>
      <c r="B1002" s="4"/>
      <c r="C1002" s="4"/>
      <c r="D1002" s="4"/>
      <c r="E1002" s="4"/>
      <c r="F1002" s="4"/>
      <c r="G1002" s="4"/>
      <c r="H1002" s="9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91"/>
      <c r="V1002" s="91"/>
      <c r="W1002" s="91"/>
      <c r="X1002" s="91"/>
      <c r="Y1002" s="91"/>
      <c r="Z1002" s="91"/>
    </row>
    <row r="1003">
      <c r="A1003" s="4"/>
      <c r="B1003" s="4"/>
      <c r="C1003" s="4"/>
      <c r="D1003" s="4"/>
      <c r="E1003" s="4"/>
      <c r="F1003" s="4"/>
      <c r="G1003" s="4"/>
      <c r="H1003" s="9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91"/>
      <c r="V1003" s="91"/>
      <c r="W1003" s="91"/>
      <c r="X1003" s="91"/>
      <c r="Y1003" s="91"/>
      <c r="Z1003" s="91"/>
    </row>
    <row r="1004">
      <c r="A1004" s="4"/>
      <c r="B1004" s="4"/>
      <c r="C1004" s="4"/>
      <c r="D1004" s="4"/>
      <c r="E1004" s="4"/>
      <c r="F1004" s="4"/>
      <c r="G1004" s="4"/>
      <c r="H1004" s="9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91"/>
      <c r="V1004" s="91"/>
      <c r="W1004" s="91"/>
      <c r="X1004" s="91"/>
      <c r="Y1004" s="91"/>
      <c r="Z1004" s="91"/>
    </row>
    <row r="1005">
      <c r="A1005" s="4"/>
      <c r="B1005" s="4"/>
      <c r="C1005" s="4"/>
      <c r="D1005" s="4"/>
      <c r="E1005" s="4"/>
      <c r="F1005" s="4"/>
      <c r="G1005" s="4"/>
      <c r="H1005" s="9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91"/>
      <c r="V1005" s="91"/>
      <c r="W1005" s="91"/>
      <c r="X1005" s="91"/>
      <c r="Y1005" s="91"/>
      <c r="Z1005" s="91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98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98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98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98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98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98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98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2"/>
      <c r="B16" s="80"/>
      <c r="C16" s="93"/>
      <c r="D16" s="94"/>
      <c r="E16" s="95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2"/>
      <c r="B17" s="80"/>
      <c r="C17" s="93"/>
      <c r="D17" s="94"/>
      <c r="E17" s="95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2"/>
      <c r="B18" s="80"/>
      <c r="C18" s="93"/>
      <c r="D18" s="94"/>
      <c r="E18" s="95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84"/>
      <c r="B19" s="85"/>
      <c r="C19" s="86"/>
      <c r="D19" s="87"/>
      <c r="E19" s="88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89"/>
      <c r="B20" s="85"/>
      <c r="C20" s="86"/>
      <c r="D20" s="87"/>
      <c r="E20" s="88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89"/>
      <c r="B21" s="85"/>
      <c r="C21" s="86"/>
      <c r="D21" s="87"/>
      <c r="E21" s="88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84"/>
      <c r="B22" s="85"/>
      <c r="C22" s="86"/>
      <c r="D22" s="87"/>
      <c r="E22" s="88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89"/>
      <c r="B23" s="85"/>
      <c r="C23" s="25"/>
      <c r="D23" s="90"/>
      <c r="E23" s="88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89"/>
      <c r="B24" s="85"/>
      <c r="C24" s="25"/>
      <c r="D24" s="90"/>
      <c r="E24" s="88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89"/>
      <c r="B25" s="85"/>
      <c r="C25" s="25"/>
      <c r="D25" s="90"/>
      <c r="E25" s="88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89"/>
      <c r="B26" s="25"/>
      <c r="C26" s="25"/>
      <c r="D26" s="90"/>
      <c r="E26" s="88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89"/>
      <c r="B27" s="25"/>
      <c r="C27" s="25"/>
      <c r="D27" s="90"/>
      <c r="E27" s="88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89"/>
      <c r="B28" s="25"/>
      <c r="C28" s="25"/>
      <c r="D28" s="90"/>
      <c r="E28" s="88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0"/>
      <c r="B29" s="25"/>
      <c r="C29" s="25"/>
      <c r="D29" s="25"/>
      <c r="E29" s="88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0"/>
      <c r="B30" s="25"/>
      <c r="C30" s="25"/>
      <c r="D30" s="25"/>
      <c r="E30" s="88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0"/>
      <c r="B31" s="25"/>
      <c r="C31" s="25"/>
      <c r="D31" s="25"/>
      <c r="E31" s="88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0"/>
      <c r="B32" s="25"/>
      <c r="C32" s="25"/>
      <c r="D32" s="25"/>
      <c r="E32" s="88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0"/>
      <c r="B33" s="25"/>
      <c r="C33" s="25"/>
      <c r="D33" s="25"/>
      <c r="E33" s="88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0"/>
      <c r="B34" s="25"/>
      <c r="C34" s="25"/>
      <c r="D34" s="25"/>
      <c r="E34" s="88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0"/>
      <c r="B35" s="25"/>
      <c r="C35" s="25"/>
      <c r="D35" s="25"/>
      <c r="E35" s="88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0"/>
      <c r="B36" s="25"/>
      <c r="C36" s="25"/>
      <c r="D36" s="25"/>
      <c r="E36" s="88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90"/>
      <c r="B37" s="25"/>
      <c r="C37" s="25"/>
      <c r="D37" s="25"/>
      <c r="E37" s="88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8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8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8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8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8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8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8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8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8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8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8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8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8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8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8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8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8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8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8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8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8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8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8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8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8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8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8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8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8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8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8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8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8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8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8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8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8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8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8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8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8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8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8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8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8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8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8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8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8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8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8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8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8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8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8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8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8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8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8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8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8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8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8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8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8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8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8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8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8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8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8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8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8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8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8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8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8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8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8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8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8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8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8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8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8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8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8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8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8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8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8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8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8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8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8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8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8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8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8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8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8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8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8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8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8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8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8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91"/>
      <c r="V971" s="91"/>
      <c r="W971" s="91"/>
      <c r="X971" s="91"/>
      <c r="Y971" s="91"/>
      <c r="Z971" s="91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91"/>
      <c r="V972" s="91"/>
      <c r="W972" s="91"/>
      <c r="X972" s="91"/>
      <c r="Y972" s="91"/>
      <c r="Z972" s="91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91"/>
      <c r="V973" s="91"/>
      <c r="W973" s="91"/>
      <c r="X973" s="91"/>
      <c r="Y973" s="91"/>
      <c r="Z973" s="91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91"/>
      <c r="V974" s="91"/>
      <c r="W974" s="91"/>
      <c r="X974" s="91"/>
      <c r="Y974" s="91"/>
      <c r="Z974" s="91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91"/>
      <c r="V975" s="91"/>
      <c r="W975" s="91"/>
      <c r="X975" s="91"/>
      <c r="Y975" s="91"/>
      <c r="Z975" s="91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91"/>
      <c r="V976" s="91"/>
      <c r="W976" s="91"/>
      <c r="X976" s="91"/>
      <c r="Y976" s="91"/>
      <c r="Z976" s="91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91"/>
      <c r="V977" s="91"/>
      <c r="W977" s="91"/>
      <c r="X977" s="91"/>
      <c r="Y977" s="91"/>
      <c r="Z977" s="91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91"/>
      <c r="V978" s="91"/>
      <c r="W978" s="91"/>
      <c r="X978" s="91"/>
      <c r="Y978" s="91"/>
      <c r="Z978" s="91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91"/>
      <c r="V979" s="91"/>
      <c r="W979" s="91"/>
      <c r="X979" s="91"/>
      <c r="Y979" s="91"/>
      <c r="Z979" s="91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91"/>
      <c r="V980" s="91"/>
      <c r="W980" s="91"/>
      <c r="X980" s="91"/>
      <c r="Y980" s="91"/>
      <c r="Z980" s="91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91"/>
      <c r="V981" s="91"/>
      <c r="W981" s="91"/>
      <c r="X981" s="91"/>
      <c r="Y981" s="91"/>
      <c r="Z981" s="91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91"/>
      <c r="V982" s="91"/>
      <c r="W982" s="91"/>
      <c r="X982" s="91"/>
      <c r="Y982" s="91"/>
      <c r="Z982" s="91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91"/>
      <c r="V983" s="91"/>
      <c r="W983" s="91"/>
      <c r="X983" s="91"/>
      <c r="Y983" s="91"/>
      <c r="Z983" s="91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91"/>
      <c r="V984" s="91"/>
      <c r="W984" s="91"/>
      <c r="X984" s="91"/>
      <c r="Y984" s="91"/>
      <c r="Z984" s="91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91"/>
      <c r="V985" s="91"/>
      <c r="W985" s="91"/>
      <c r="X985" s="91"/>
      <c r="Y985" s="91"/>
      <c r="Z985" s="91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91"/>
      <c r="V986" s="91"/>
      <c r="W986" s="91"/>
      <c r="X986" s="91"/>
      <c r="Y986" s="91"/>
      <c r="Z986" s="91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91"/>
      <c r="V987" s="91"/>
      <c r="W987" s="91"/>
      <c r="X987" s="91"/>
      <c r="Y987" s="91"/>
      <c r="Z987" s="91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91"/>
      <c r="V988" s="91"/>
      <c r="W988" s="91"/>
      <c r="X988" s="91"/>
      <c r="Y988" s="91"/>
      <c r="Z988" s="91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91"/>
      <c r="V989" s="91"/>
      <c r="W989" s="91"/>
      <c r="X989" s="91"/>
      <c r="Y989" s="91"/>
      <c r="Z989" s="91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91"/>
      <c r="V990" s="91"/>
      <c r="W990" s="91"/>
      <c r="X990" s="91"/>
      <c r="Y990" s="91"/>
      <c r="Z990" s="91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91"/>
      <c r="V991" s="91"/>
      <c r="W991" s="91"/>
      <c r="X991" s="91"/>
      <c r="Y991" s="91"/>
      <c r="Z991" s="91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91"/>
      <c r="V992" s="91"/>
      <c r="W992" s="91"/>
      <c r="X992" s="91"/>
      <c r="Y992" s="91"/>
      <c r="Z992" s="91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91"/>
      <c r="V993" s="91"/>
      <c r="W993" s="91"/>
      <c r="X993" s="91"/>
      <c r="Y993" s="91"/>
      <c r="Z993" s="91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91"/>
      <c r="V994" s="91"/>
      <c r="W994" s="91"/>
      <c r="X994" s="91"/>
      <c r="Y994" s="91"/>
      <c r="Z994" s="91"/>
    </row>
    <row r="995">
      <c r="A995" s="4"/>
      <c r="B995" s="4"/>
      <c r="C995" s="4"/>
      <c r="D995" s="4"/>
      <c r="E995" s="4"/>
      <c r="F995" s="4"/>
      <c r="G995" s="4"/>
      <c r="H995" s="9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91"/>
      <c r="V995" s="91"/>
      <c r="W995" s="91"/>
      <c r="X995" s="91"/>
      <c r="Y995" s="91"/>
      <c r="Z995" s="91"/>
    </row>
    <row r="996">
      <c r="A996" s="4"/>
      <c r="B996" s="4"/>
      <c r="C996" s="4"/>
      <c r="D996" s="4"/>
      <c r="E996" s="4"/>
      <c r="F996" s="4"/>
      <c r="G996" s="4"/>
      <c r="H996" s="9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91"/>
      <c r="V996" s="91"/>
      <c r="W996" s="91"/>
      <c r="X996" s="91"/>
      <c r="Y996" s="91"/>
      <c r="Z996" s="91"/>
    </row>
    <row r="997">
      <c r="A997" s="4"/>
      <c r="B997" s="4"/>
      <c r="C997" s="4"/>
      <c r="D997" s="4"/>
      <c r="E997" s="4"/>
      <c r="F997" s="4"/>
      <c r="G997" s="4"/>
      <c r="H997" s="9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91"/>
      <c r="V997" s="91"/>
      <c r="W997" s="91"/>
      <c r="X997" s="91"/>
      <c r="Y997" s="91"/>
      <c r="Z997" s="91"/>
    </row>
    <row r="998">
      <c r="A998" s="4"/>
      <c r="B998" s="4"/>
      <c r="C998" s="4"/>
      <c r="D998" s="4"/>
      <c r="E998" s="4"/>
      <c r="F998" s="4"/>
      <c r="G998" s="4"/>
      <c r="H998" s="9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91"/>
      <c r="V998" s="91"/>
      <c r="W998" s="91"/>
      <c r="X998" s="91"/>
      <c r="Y998" s="91"/>
      <c r="Z998" s="91"/>
    </row>
    <row r="999">
      <c r="A999" s="4"/>
      <c r="B999" s="4"/>
      <c r="C999" s="4"/>
      <c r="D999" s="4"/>
      <c r="E999" s="4"/>
      <c r="F999" s="4"/>
      <c r="G999" s="4"/>
      <c r="H999" s="9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91"/>
      <c r="V999" s="91"/>
      <c r="W999" s="91"/>
      <c r="X999" s="91"/>
      <c r="Y999" s="91"/>
      <c r="Z999" s="91"/>
    </row>
    <row r="1000">
      <c r="A1000" s="4"/>
      <c r="B1000" s="4"/>
      <c r="C1000" s="4"/>
      <c r="D1000" s="4"/>
      <c r="E1000" s="4"/>
      <c r="F1000" s="4"/>
      <c r="G1000" s="4"/>
      <c r="H1000" s="9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91"/>
      <c r="V1000" s="91"/>
      <c r="W1000" s="91"/>
      <c r="X1000" s="91"/>
      <c r="Y1000" s="91"/>
      <c r="Z1000" s="91"/>
    </row>
    <row r="1001">
      <c r="A1001" s="4"/>
      <c r="B1001" s="4"/>
      <c r="C1001" s="4"/>
      <c r="D1001" s="4"/>
      <c r="E1001" s="4"/>
      <c r="F1001" s="4"/>
      <c r="G1001" s="4"/>
      <c r="H1001" s="9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91"/>
      <c r="V1001" s="91"/>
      <c r="W1001" s="91"/>
      <c r="X1001" s="91"/>
      <c r="Y1001" s="91"/>
      <c r="Z1001" s="91"/>
    </row>
    <row r="1002">
      <c r="A1002" s="4"/>
      <c r="B1002" s="4"/>
      <c r="C1002" s="4"/>
      <c r="D1002" s="4"/>
      <c r="E1002" s="4"/>
      <c r="F1002" s="4"/>
      <c r="G1002" s="4"/>
      <c r="H1002" s="9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91"/>
      <c r="V1002" s="91"/>
      <c r="W1002" s="91"/>
      <c r="X1002" s="91"/>
      <c r="Y1002" s="91"/>
      <c r="Z1002" s="91"/>
    </row>
    <row r="1003">
      <c r="A1003" s="4"/>
      <c r="B1003" s="4"/>
      <c r="C1003" s="4"/>
      <c r="D1003" s="4"/>
      <c r="E1003" s="4"/>
      <c r="F1003" s="4"/>
      <c r="G1003" s="4"/>
      <c r="H1003" s="9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91"/>
      <c r="V1003" s="91"/>
      <c r="W1003" s="91"/>
      <c r="X1003" s="91"/>
      <c r="Y1003" s="91"/>
      <c r="Z1003" s="91"/>
    </row>
    <row r="1004">
      <c r="A1004" s="4"/>
      <c r="B1004" s="4"/>
      <c r="C1004" s="4"/>
      <c r="D1004" s="4"/>
      <c r="E1004" s="4"/>
      <c r="F1004" s="4"/>
      <c r="G1004" s="4"/>
      <c r="H1004" s="9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91"/>
      <c r="V1004" s="91"/>
      <c r="W1004" s="91"/>
      <c r="X1004" s="91"/>
      <c r="Y1004" s="91"/>
      <c r="Z1004" s="91"/>
    </row>
    <row r="1005">
      <c r="A1005" s="4"/>
      <c r="B1005" s="4"/>
      <c r="C1005" s="4"/>
      <c r="D1005" s="4"/>
      <c r="E1005" s="4"/>
      <c r="F1005" s="4"/>
      <c r="G1005" s="4"/>
      <c r="H1005" s="9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91"/>
      <c r="V1005" s="91"/>
      <c r="W1005" s="91"/>
      <c r="X1005" s="91"/>
      <c r="Y1005" s="91"/>
      <c r="Z1005" s="9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98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98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98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98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98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98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98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2"/>
      <c r="B16" s="80"/>
      <c r="C16" s="93"/>
      <c r="D16" s="94"/>
      <c r="E16" s="95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2"/>
      <c r="B17" s="80"/>
      <c r="C17" s="93"/>
      <c r="D17" s="94"/>
      <c r="E17" s="95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2"/>
      <c r="B18" s="80"/>
      <c r="C18" s="93"/>
      <c r="D18" s="94"/>
      <c r="E18" s="95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84"/>
      <c r="B19" s="85"/>
      <c r="C19" s="86"/>
      <c r="D19" s="87"/>
      <c r="E19" s="88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89"/>
      <c r="B20" s="85"/>
      <c r="C20" s="86"/>
      <c r="D20" s="87"/>
      <c r="E20" s="88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89"/>
      <c r="B21" s="85"/>
      <c r="C21" s="86"/>
      <c r="D21" s="87"/>
      <c r="E21" s="88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84"/>
      <c r="B22" s="85"/>
      <c r="C22" s="86"/>
      <c r="D22" s="87"/>
      <c r="E22" s="88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89"/>
      <c r="B23" s="85"/>
      <c r="C23" s="25"/>
      <c r="D23" s="90"/>
      <c r="E23" s="88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89"/>
      <c r="B24" s="85"/>
      <c r="C24" s="25"/>
      <c r="D24" s="90"/>
      <c r="E24" s="88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89"/>
      <c r="B25" s="85"/>
      <c r="C25" s="25"/>
      <c r="D25" s="90"/>
      <c r="E25" s="88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89"/>
      <c r="B26" s="25"/>
      <c r="C26" s="25"/>
      <c r="D26" s="90"/>
      <c r="E26" s="88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89"/>
      <c r="B27" s="25"/>
      <c r="C27" s="25"/>
      <c r="D27" s="90"/>
      <c r="E27" s="88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89"/>
      <c r="B28" s="25"/>
      <c r="C28" s="25"/>
      <c r="D28" s="90"/>
      <c r="E28" s="88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0"/>
      <c r="B29" s="25"/>
      <c r="C29" s="25"/>
      <c r="D29" s="25"/>
      <c r="E29" s="88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0"/>
      <c r="B30" s="25"/>
      <c r="C30" s="25"/>
      <c r="D30" s="25"/>
      <c r="E30" s="88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0"/>
      <c r="B31" s="25"/>
      <c r="C31" s="25"/>
      <c r="D31" s="25"/>
      <c r="E31" s="88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0"/>
      <c r="B32" s="25"/>
      <c r="C32" s="25"/>
      <c r="D32" s="25"/>
      <c r="E32" s="88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0"/>
      <c r="B33" s="25"/>
      <c r="C33" s="25"/>
      <c r="D33" s="25"/>
      <c r="E33" s="88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0"/>
      <c r="B34" s="25"/>
      <c r="C34" s="25"/>
      <c r="D34" s="25"/>
      <c r="E34" s="88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0"/>
      <c r="B35" s="25"/>
      <c r="C35" s="25"/>
      <c r="D35" s="25"/>
      <c r="E35" s="88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0"/>
      <c r="B36" s="25"/>
      <c r="C36" s="25"/>
      <c r="D36" s="25"/>
      <c r="E36" s="88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90"/>
      <c r="B37" s="25"/>
      <c r="C37" s="25"/>
      <c r="D37" s="25"/>
      <c r="E37" s="88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8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8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8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8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8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8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8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8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8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8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8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8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8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8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8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8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8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8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8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8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8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8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8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8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8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8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8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8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8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8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8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8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8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8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8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8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8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8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8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8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8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8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8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8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8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8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8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8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8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8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8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8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8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8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8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8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8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8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8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8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8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8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8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8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8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8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8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8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8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8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8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8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8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8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8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8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8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8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8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8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8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8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8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8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8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8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8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8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8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8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8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8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8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8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8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8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8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8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8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8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8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8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8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8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8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8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8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91"/>
      <c r="V971" s="91"/>
      <c r="W971" s="91"/>
      <c r="X971" s="91"/>
      <c r="Y971" s="91"/>
      <c r="Z971" s="91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91"/>
      <c r="V972" s="91"/>
      <c r="W972" s="91"/>
      <c r="X972" s="91"/>
      <c r="Y972" s="91"/>
      <c r="Z972" s="91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91"/>
      <c r="V973" s="91"/>
      <c r="W973" s="91"/>
      <c r="X973" s="91"/>
      <c r="Y973" s="91"/>
      <c r="Z973" s="91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91"/>
      <c r="V974" s="91"/>
      <c r="W974" s="91"/>
      <c r="X974" s="91"/>
      <c r="Y974" s="91"/>
      <c r="Z974" s="91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91"/>
      <c r="V975" s="91"/>
      <c r="W975" s="91"/>
      <c r="X975" s="91"/>
      <c r="Y975" s="91"/>
      <c r="Z975" s="91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91"/>
      <c r="V976" s="91"/>
      <c r="W976" s="91"/>
      <c r="X976" s="91"/>
      <c r="Y976" s="91"/>
      <c r="Z976" s="91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91"/>
      <c r="V977" s="91"/>
      <c r="W977" s="91"/>
      <c r="X977" s="91"/>
      <c r="Y977" s="91"/>
      <c r="Z977" s="91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91"/>
      <c r="V978" s="91"/>
      <c r="W978" s="91"/>
      <c r="X978" s="91"/>
      <c r="Y978" s="91"/>
      <c r="Z978" s="91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91"/>
      <c r="V979" s="91"/>
      <c r="W979" s="91"/>
      <c r="X979" s="91"/>
      <c r="Y979" s="91"/>
      <c r="Z979" s="91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91"/>
      <c r="V980" s="91"/>
      <c r="W980" s="91"/>
      <c r="X980" s="91"/>
      <c r="Y980" s="91"/>
      <c r="Z980" s="91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91"/>
      <c r="V981" s="91"/>
      <c r="W981" s="91"/>
      <c r="X981" s="91"/>
      <c r="Y981" s="91"/>
      <c r="Z981" s="91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91"/>
      <c r="V982" s="91"/>
      <c r="W982" s="91"/>
      <c r="X982" s="91"/>
      <c r="Y982" s="91"/>
      <c r="Z982" s="91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91"/>
      <c r="V983" s="91"/>
      <c r="W983" s="91"/>
      <c r="X983" s="91"/>
      <c r="Y983" s="91"/>
      <c r="Z983" s="91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91"/>
      <c r="V984" s="91"/>
      <c r="W984" s="91"/>
      <c r="X984" s="91"/>
      <c r="Y984" s="91"/>
      <c r="Z984" s="91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91"/>
      <c r="V985" s="91"/>
      <c r="W985" s="91"/>
      <c r="X985" s="91"/>
      <c r="Y985" s="91"/>
      <c r="Z985" s="91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91"/>
      <c r="V986" s="91"/>
      <c r="W986" s="91"/>
      <c r="X986" s="91"/>
      <c r="Y986" s="91"/>
      <c r="Z986" s="91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91"/>
      <c r="V987" s="91"/>
      <c r="W987" s="91"/>
      <c r="X987" s="91"/>
      <c r="Y987" s="91"/>
      <c r="Z987" s="91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91"/>
      <c r="V988" s="91"/>
      <c r="W988" s="91"/>
      <c r="X988" s="91"/>
      <c r="Y988" s="91"/>
      <c r="Z988" s="91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91"/>
      <c r="V989" s="91"/>
      <c r="W989" s="91"/>
      <c r="X989" s="91"/>
      <c r="Y989" s="91"/>
      <c r="Z989" s="91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91"/>
      <c r="V990" s="91"/>
      <c r="W990" s="91"/>
      <c r="X990" s="91"/>
      <c r="Y990" s="91"/>
      <c r="Z990" s="91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91"/>
      <c r="V991" s="91"/>
      <c r="W991" s="91"/>
      <c r="X991" s="91"/>
      <c r="Y991" s="91"/>
      <c r="Z991" s="91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91"/>
      <c r="V992" s="91"/>
      <c r="W992" s="91"/>
      <c r="X992" s="91"/>
      <c r="Y992" s="91"/>
      <c r="Z992" s="91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91"/>
      <c r="V993" s="91"/>
      <c r="W993" s="91"/>
      <c r="X993" s="91"/>
      <c r="Y993" s="91"/>
      <c r="Z993" s="91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91"/>
      <c r="V994" s="91"/>
      <c r="W994" s="91"/>
      <c r="X994" s="91"/>
      <c r="Y994" s="91"/>
      <c r="Z994" s="91"/>
    </row>
    <row r="995">
      <c r="A995" s="4"/>
      <c r="B995" s="4"/>
      <c r="C995" s="4"/>
      <c r="D995" s="4"/>
      <c r="E995" s="4"/>
      <c r="F995" s="4"/>
      <c r="G995" s="4"/>
      <c r="H995" s="9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91"/>
      <c r="V995" s="91"/>
      <c r="W995" s="91"/>
      <c r="X995" s="91"/>
      <c r="Y995" s="91"/>
      <c r="Z995" s="91"/>
    </row>
    <row r="996">
      <c r="A996" s="4"/>
      <c r="B996" s="4"/>
      <c r="C996" s="4"/>
      <c r="D996" s="4"/>
      <c r="E996" s="4"/>
      <c r="F996" s="4"/>
      <c r="G996" s="4"/>
      <c r="H996" s="9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91"/>
      <c r="V996" s="91"/>
      <c r="W996" s="91"/>
      <c r="X996" s="91"/>
      <c r="Y996" s="91"/>
      <c r="Z996" s="91"/>
    </row>
    <row r="997">
      <c r="A997" s="4"/>
      <c r="B997" s="4"/>
      <c r="C997" s="4"/>
      <c r="D997" s="4"/>
      <c r="E997" s="4"/>
      <c r="F997" s="4"/>
      <c r="G997" s="4"/>
      <c r="H997" s="9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91"/>
      <c r="V997" s="91"/>
      <c r="W997" s="91"/>
      <c r="X997" s="91"/>
      <c r="Y997" s="91"/>
      <c r="Z997" s="91"/>
    </row>
    <row r="998">
      <c r="A998" s="4"/>
      <c r="B998" s="4"/>
      <c r="C998" s="4"/>
      <c r="D998" s="4"/>
      <c r="E998" s="4"/>
      <c r="F998" s="4"/>
      <c r="G998" s="4"/>
      <c r="H998" s="9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91"/>
      <c r="V998" s="91"/>
      <c r="W998" s="91"/>
      <c r="X998" s="91"/>
      <c r="Y998" s="91"/>
      <c r="Z998" s="91"/>
    </row>
    <row r="999">
      <c r="A999" s="4"/>
      <c r="B999" s="4"/>
      <c r="C999" s="4"/>
      <c r="D999" s="4"/>
      <c r="E999" s="4"/>
      <c r="F999" s="4"/>
      <c r="G999" s="4"/>
      <c r="H999" s="9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91"/>
      <c r="V999" s="91"/>
      <c r="W999" s="91"/>
      <c r="X999" s="91"/>
      <c r="Y999" s="91"/>
      <c r="Z999" s="91"/>
    </row>
    <row r="1000">
      <c r="A1000" s="4"/>
      <c r="B1000" s="4"/>
      <c r="C1000" s="4"/>
      <c r="D1000" s="4"/>
      <c r="E1000" s="4"/>
      <c r="F1000" s="4"/>
      <c r="G1000" s="4"/>
      <c r="H1000" s="9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91"/>
      <c r="V1000" s="91"/>
      <c r="W1000" s="91"/>
      <c r="X1000" s="91"/>
      <c r="Y1000" s="91"/>
      <c r="Z1000" s="91"/>
    </row>
    <row r="1001">
      <c r="A1001" s="4"/>
      <c r="B1001" s="4"/>
      <c r="C1001" s="4"/>
      <c r="D1001" s="4"/>
      <c r="E1001" s="4"/>
      <c r="F1001" s="4"/>
      <c r="G1001" s="4"/>
      <c r="H1001" s="9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91"/>
      <c r="V1001" s="91"/>
      <c r="W1001" s="91"/>
      <c r="X1001" s="91"/>
      <c r="Y1001" s="91"/>
      <c r="Z1001" s="91"/>
    </row>
    <row r="1002">
      <c r="A1002" s="4"/>
      <c r="B1002" s="4"/>
      <c r="C1002" s="4"/>
      <c r="D1002" s="4"/>
      <c r="E1002" s="4"/>
      <c r="F1002" s="4"/>
      <c r="G1002" s="4"/>
      <c r="H1002" s="9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91"/>
      <c r="V1002" s="91"/>
      <c r="W1002" s="91"/>
      <c r="X1002" s="91"/>
      <c r="Y1002" s="91"/>
      <c r="Z1002" s="91"/>
    </row>
    <row r="1003">
      <c r="A1003" s="4"/>
      <c r="B1003" s="4"/>
      <c r="C1003" s="4"/>
      <c r="D1003" s="4"/>
      <c r="E1003" s="4"/>
      <c r="F1003" s="4"/>
      <c r="G1003" s="4"/>
      <c r="H1003" s="9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91"/>
      <c r="V1003" s="91"/>
      <c r="W1003" s="91"/>
      <c r="X1003" s="91"/>
      <c r="Y1003" s="91"/>
      <c r="Z1003" s="91"/>
    </row>
    <row r="1004">
      <c r="A1004" s="4"/>
      <c r="B1004" s="4"/>
      <c r="C1004" s="4"/>
      <c r="D1004" s="4"/>
      <c r="E1004" s="4"/>
      <c r="F1004" s="4"/>
      <c r="G1004" s="4"/>
      <c r="H1004" s="9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91"/>
      <c r="V1004" s="91"/>
      <c r="W1004" s="91"/>
      <c r="X1004" s="91"/>
      <c r="Y1004" s="91"/>
      <c r="Z1004" s="91"/>
    </row>
    <row r="1005">
      <c r="A1005" s="4"/>
      <c r="B1005" s="4"/>
      <c r="C1005" s="4"/>
      <c r="D1005" s="4"/>
      <c r="E1005" s="4"/>
      <c r="F1005" s="4"/>
      <c r="G1005" s="4"/>
      <c r="H1005" s="9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91"/>
      <c r="V1005" s="91"/>
      <c r="W1005" s="91"/>
      <c r="X1005" s="91"/>
      <c r="Y1005" s="91"/>
      <c r="Z1005" s="91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98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98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98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98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98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98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98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2"/>
      <c r="B16" s="80"/>
      <c r="C16" s="93"/>
      <c r="D16" s="94"/>
      <c r="E16" s="95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2"/>
      <c r="B17" s="80"/>
      <c r="C17" s="93"/>
      <c r="D17" s="94"/>
      <c r="E17" s="95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2"/>
      <c r="B18" s="80"/>
      <c r="C18" s="93"/>
      <c r="D18" s="94"/>
      <c r="E18" s="95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84"/>
      <c r="B19" s="85"/>
      <c r="C19" s="86"/>
      <c r="D19" s="87"/>
      <c r="E19" s="88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89"/>
      <c r="B20" s="85"/>
      <c r="C20" s="86"/>
      <c r="D20" s="87"/>
      <c r="E20" s="88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89"/>
      <c r="B21" s="85"/>
      <c r="C21" s="86"/>
      <c r="D21" s="87"/>
      <c r="E21" s="88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84"/>
      <c r="B22" s="85"/>
      <c r="C22" s="86"/>
      <c r="D22" s="87"/>
      <c r="E22" s="88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89"/>
      <c r="B23" s="85"/>
      <c r="C23" s="25"/>
      <c r="D23" s="90"/>
      <c r="E23" s="88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89"/>
      <c r="B24" s="85"/>
      <c r="C24" s="25"/>
      <c r="D24" s="90"/>
      <c r="E24" s="88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89"/>
      <c r="B25" s="85"/>
      <c r="C25" s="25"/>
      <c r="D25" s="90"/>
      <c r="E25" s="88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89"/>
      <c r="B26" s="25"/>
      <c r="C26" s="25"/>
      <c r="D26" s="90"/>
      <c r="E26" s="88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89"/>
      <c r="B27" s="25"/>
      <c r="C27" s="25"/>
      <c r="D27" s="90"/>
      <c r="E27" s="88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89"/>
      <c r="B28" s="25"/>
      <c r="C28" s="25"/>
      <c r="D28" s="90"/>
      <c r="E28" s="88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0"/>
      <c r="B29" s="25"/>
      <c r="C29" s="25"/>
      <c r="D29" s="25"/>
      <c r="E29" s="88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0"/>
      <c r="B30" s="25"/>
      <c r="C30" s="25"/>
      <c r="D30" s="25"/>
      <c r="E30" s="88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0"/>
      <c r="B31" s="25"/>
      <c r="C31" s="25"/>
      <c r="D31" s="25"/>
      <c r="E31" s="88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0"/>
      <c r="B32" s="25"/>
      <c r="C32" s="25"/>
      <c r="D32" s="25"/>
      <c r="E32" s="88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0"/>
      <c r="B33" s="25"/>
      <c r="C33" s="25"/>
      <c r="D33" s="25"/>
      <c r="E33" s="88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0"/>
      <c r="B34" s="25"/>
      <c r="C34" s="25"/>
      <c r="D34" s="25"/>
      <c r="E34" s="88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0"/>
      <c r="B35" s="25"/>
      <c r="C35" s="25"/>
      <c r="D35" s="25"/>
      <c r="E35" s="88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0"/>
      <c r="B36" s="25"/>
      <c r="C36" s="25"/>
      <c r="D36" s="25"/>
      <c r="E36" s="88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90"/>
      <c r="B37" s="25"/>
      <c r="C37" s="25"/>
      <c r="D37" s="25"/>
      <c r="E37" s="88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8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8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8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8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8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8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8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8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8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8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8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8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8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8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8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8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8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8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8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8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8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8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8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8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8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8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8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8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8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8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8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8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8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8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8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8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8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8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8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8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8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8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8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8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8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8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8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8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8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8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8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8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8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8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8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8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8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8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8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8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8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8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8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8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8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8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8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8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8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8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8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8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8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8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8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8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8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8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8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8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8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8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8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8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8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8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8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8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8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8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8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8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8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8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8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8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8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8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8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8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8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8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8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8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8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8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8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91"/>
      <c r="V971" s="91"/>
      <c r="W971" s="91"/>
      <c r="X971" s="91"/>
      <c r="Y971" s="91"/>
      <c r="Z971" s="91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91"/>
      <c r="V972" s="91"/>
      <c r="W972" s="91"/>
      <c r="X972" s="91"/>
      <c r="Y972" s="91"/>
      <c r="Z972" s="91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91"/>
      <c r="V973" s="91"/>
      <c r="W973" s="91"/>
      <c r="X973" s="91"/>
      <c r="Y973" s="91"/>
      <c r="Z973" s="91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91"/>
      <c r="V974" s="91"/>
      <c r="W974" s="91"/>
      <c r="X974" s="91"/>
      <c r="Y974" s="91"/>
      <c r="Z974" s="91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91"/>
      <c r="V975" s="91"/>
      <c r="W975" s="91"/>
      <c r="X975" s="91"/>
      <c r="Y975" s="91"/>
      <c r="Z975" s="91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91"/>
      <c r="V976" s="91"/>
      <c r="W976" s="91"/>
      <c r="X976" s="91"/>
      <c r="Y976" s="91"/>
      <c r="Z976" s="91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91"/>
      <c r="V977" s="91"/>
      <c r="W977" s="91"/>
      <c r="X977" s="91"/>
      <c r="Y977" s="91"/>
      <c r="Z977" s="91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91"/>
      <c r="V978" s="91"/>
      <c r="W978" s="91"/>
      <c r="X978" s="91"/>
      <c r="Y978" s="91"/>
      <c r="Z978" s="91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91"/>
      <c r="V979" s="91"/>
      <c r="W979" s="91"/>
      <c r="X979" s="91"/>
      <c r="Y979" s="91"/>
      <c r="Z979" s="91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91"/>
      <c r="V980" s="91"/>
      <c r="W980" s="91"/>
      <c r="X980" s="91"/>
      <c r="Y980" s="91"/>
      <c r="Z980" s="91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91"/>
      <c r="V981" s="91"/>
      <c r="W981" s="91"/>
      <c r="X981" s="91"/>
      <c r="Y981" s="91"/>
      <c r="Z981" s="91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91"/>
      <c r="V982" s="91"/>
      <c r="W982" s="91"/>
      <c r="X982" s="91"/>
      <c r="Y982" s="91"/>
      <c r="Z982" s="91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91"/>
      <c r="V983" s="91"/>
      <c r="W983" s="91"/>
      <c r="X983" s="91"/>
      <c r="Y983" s="91"/>
      <c r="Z983" s="91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91"/>
      <c r="V984" s="91"/>
      <c r="W984" s="91"/>
      <c r="X984" s="91"/>
      <c r="Y984" s="91"/>
      <c r="Z984" s="91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91"/>
      <c r="V985" s="91"/>
      <c r="W985" s="91"/>
      <c r="X985" s="91"/>
      <c r="Y985" s="91"/>
      <c r="Z985" s="91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91"/>
      <c r="V986" s="91"/>
      <c r="W986" s="91"/>
      <c r="X986" s="91"/>
      <c r="Y986" s="91"/>
      <c r="Z986" s="91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91"/>
      <c r="V987" s="91"/>
      <c r="W987" s="91"/>
      <c r="X987" s="91"/>
      <c r="Y987" s="91"/>
      <c r="Z987" s="91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91"/>
      <c r="V988" s="91"/>
      <c r="W988" s="91"/>
      <c r="X988" s="91"/>
      <c r="Y988" s="91"/>
      <c r="Z988" s="91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91"/>
      <c r="V989" s="91"/>
      <c r="W989" s="91"/>
      <c r="X989" s="91"/>
      <c r="Y989" s="91"/>
      <c r="Z989" s="91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91"/>
      <c r="V990" s="91"/>
      <c r="W990" s="91"/>
      <c r="X990" s="91"/>
      <c r="Y990" s="91"/>
      <c r="Z990" s="91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91"/>
      <c r="V991" s="91"/>
      <c r="W991" s="91"/>
      <c r="X991" s="91"/>
      <c r="Y991" s="91"/>
      <c r="Z991" s="91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91"/>
      <c r="V992" s="91"/>
      <c r="W992" s="91"/>
      <c r="X992" s="91"/>
      <c r="Y992" s="91"/>
      <c r="Z992" s="91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91"/>
      <c r="V993" s="91"/>
      <c r="W993" s="91"/>
      <c r="X993" s="91"/>
      <c r="Y993" s="91"/>
      <c r="Z993" s="91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91"/>
      <c r="V994" s="91"/>
      <c r="W994" s="91"/>
      <c r="X994" s="91"/>
      <c r="Y994" s="91"/>
      <c r="Z994" s="91"/>
    </row>
    <row r="995">
      <c r="A995" s="4"/>
      <c r="B995" s="4"/>
      <c r="C995" s="4"/>
      <c r="D995" s="4"/>
      <c r="E995" s="4"/>
      <c r="F995" s="4"/>
      <c r="G995" s="4"/>
      <c r="H995" s="9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91"/>
      <c r="V995" s="91"/>
      <c r="W995" s="91"/>
      <c r="X995" s="91"/>
      <c r="Y995" s="91"/>
      <c r="Z995" s="91"/>
    </row>
    <row r="996">
      <c r="A996" s="4"/>
      <c r="B996" s="4"/>
      <c r="C996" s="4"/>
      <c r="D996" s="4"/>
      <c r="E996" s="4"/>
      <c r="F996" s="4"/>
      <c r="G996" s="4"/>
      <c r="H996" s="9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91"/>
      <c r="V996" s="91"/>
      <c r="W996" s="91"/>
      <c r="X996" s="91"/>
      <c r="Y996" s="91"/>
      <c r="Z996" s="91"/>
    </row>
    <row r="997">
      <c r="A997" s="4"/>
      <c r="B997" s="4"/>
      <c r="C997" s="4"/>
      <c r="D997" s="4"/>
      <c r="E997" s="4"/>
      <c r="F997" s="4"/>
      <c r="G997" s="4"/>
      <c r="H997" s="9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91"/>
      <c r="V997" s="91"/>
      <c r="W997" s="91"/>
      <c r="X997" s="91"/>
      <c r="Y997" s="91"/>
      <c r="Z997" s="91"/>
    </row>
    <row r="998">
      <c r="A998" s="4"/>
      <c r="B998" s="4"/>
      <c r="C998" s="4"/>
      <c r="D998" s="4"/>
      <c r="E998" s="4"/>
      <c r="F998" s="4"/>
      <c r="G998" s="4"/>
      <c r="H998" s="9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91"/>
      <c r="V998" s="91"/>
      <c r="W998" s="91"/>
      <c r="X998" s="91"/>
      <c r="Y998" s="91"/>
      <c r="Z998" s="91"/>
    </row>
    <row r="999">
      <c r="A999" s="4"/>
      <c r="B999" s="4"/>
      <c r="C999" s="4"/>
      <c r="D999" s="4"/>
      <c r="E999" s="4"/>
      <c r="F999" s="4"/>
      <c r="G999" s="4"/>
      <c r="H999" s="9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91"/>
      <c r="V999" s="91"/>
      <c r="W999" s="91"/>
      <c r="X999" s="91"/>
      <c r="Y999" s="91"/>
      <c r="Z999" s="91"/>
    </row>
    <row r="1000">
      <c r="A1000" s="4"/>
      <c r="B1000" s="4"/>
      <c r="C1000" s="4"/>
      <c r="D1000" s="4"/>
      <c r="E1000" s="4"/>
      <c r="F1000" s="4"/>
      <c r="G1000" s="4"/>
      <c r="H1000" s="9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91"/>
      <c r="V1000" s="91"/>
      <c r="W1000" s="91"/>
      <c r="X1000" s="91"/>
      <c r="Y1000" s="91"/>
      <c r="Z1000" s="91"/>
    </row>
    <row r="1001">
      <c r="A1001" s="4"/>
      <c r="B1001" s="4"/>
      <c r="C1001" s="4"/>
      <c r="D1001" s="4"/>
      <c r="E1001" s="4"/>
      <c r="F1001" s="4"/>
      <c r="G1001" s="4"/>
      <c r="H1001" s="9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91"/>
      <c r="V1001" s="91"/>
      <c r="W1001" s="91"/>
      <c r="X1001" s="91"/>
      <c r="Y1001" s="91"/>
      <c r="Z1001" s="91"/>
    </row>
    <row r="1002">
      <c r="A1002" s="4"/>
      <c r="B1002" s="4"/>
      <c r="C1002" s="4"/>
      <c r="D1002" s="4"/>
      <c r="E1002" s="4"/>
      <c r="F1002" s="4"/>
      <c r="G1002" s="4"/>
      <c r="H1002" s="9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91"/>
      <c r="V1002" s="91"/>
      <c r="W1002" s="91"/>
      <c r="X1002" s="91"/>
      <c r="Y1002" s="91"/>
      <c r="Z1002" s="91"/>
    </row>
    <row r="1003">
      <c r="A1003" s="4"/>
      <c r="B1003" s="4"/>
      <c r="C1003" s="4"/>
      <c r="D1003" s="4"/>
      <c r="E1003" s="4"/>
      <c r="F1003" s="4"/>
      <c r="G1003" s="4"/>
      <c r="H1003" s="9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91"/>
      <c r="V1003" s="91"/>
      <c r="W1003" s="91"/>
      <c r="X1003" s="91"/>
      <c r="Y1003" s="91"/>
      <c r="Z1003" s="91"/>
    </row>
    <row r="1004">
      <c r="A1004" s="4"/>
      <c r="B1004" s="4"/>
      <c r="C1004" s="4"/>
      <c r="D1004" s="4"/>
      <c r="E1004" s="4"/>
      <c r="F1004" s="4"/>
      <c r="G1004" s="4"/>
      <c r="H1004" s="9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91"/>
      <c r="V1004" s="91"/>
      <c r="W1004" s="91"/>
      <c r="X1004" s="91"/>
      <c r="Y1004" s="91"/>
      <c r="Z1004" s="91"/>
    </row>
    <row r="1005">
      <c r="A1005" s="4"/>
      <c r="B1005" s="4"/>
      <c r="C1005" s="4"/>
      <c r="D1005" s="4"/>
      <c r="E1005" s="4"/>
      <c r="F1005" s="4"/>
      <c r="G1005" s="4"/>
      <c r="H1005" s="9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91"/>
      <c r="V1005" s="91"/>
      <c r="W1005" s="91"/>
      <c r="X1005" s="91"/>
      <c r="Y1005" s="91"/>
      <c r="Z1005" s="91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98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98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98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98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98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98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98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2"/>
      <c r="B16" s="80"/>
      <c r="C16" s="93"/>
      <c r="D16" s="94"/>
      <c r="E16" s="95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2"/>
      <c r="B17" s="80"/>
      <c r="C17" s="93"/>
      <c r="D17" s="94"/>
      <c r="E17" s="95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2"/>
      <c r="B18" s="80"/>
      <c r="C18" s="93"/>
      <c r="D18" s="94"/>
      <c r="E18" s="95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84"/>
      <c r="B19" s="85"/>
      <c r="C19" s="86"/>
      <c r="D19" s="87"/>
      <c r="E19" s="88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89"/>
      <c r="B20" s="85"/>
      <c r="C20" s="86"/>
      <c r="D20" s="87"/>
      <c r="E20" s="88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89"/>
      <c r="B21" s="85"/>
      <c r="C21" s="86"/>
      <c r="D21" s="87"/>
      <c r="E21" s="88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84"/>
      <c r="B22" s="85"/>
      <c r="C22" s="86"/>
      <c r="D22" s="87"/>
      <c r="E22" s="88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89"/>
      <c r="B23" s="85"/>
      <c r="C23" s="25"/>
      <c r="D23" s="90"/>
      <c r="E23" s="88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89"/>
      <c r="B24" s="85"/>
      <c r="C24" s="25"/>
      <c r="D24" s="90"/>
      <c r="E24" s="88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89"/>
      <c r="B25" s="85"/>
      <c r="C25" s="25"/>
      <c r="D25" s="90"/>
      <c r="E25" s="88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89"/>
      <c r="B26" s="25"/>
      <c r="C26" s="25"/>
      <c r="D26" s="90"/>
      <c r="E26" s="88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89"/>
      <c r="B27" s="25"/>
      <c r="C27" s="25"/>
      <c r="D27" s="90"/>
      <c r="E27" s="88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89"/>
      <c r="B28" s="25"/>
      <c r="C28" s="25"/>
      <c r="D28" s="90"/>
      <c r="E28" s="88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0"/>
      <c r="B29" s="25"/>
      <c r="C29" s="25"/>
      <c r="D29" s="25"/>
      <c r="E29" s="88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0"/>
      <c r="B30" s="25"/>
      <c r="C30" s="25"/>
      <c r="D30" s="25"/>
      <c r="E30" s="88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0"/>
      <c r="B31" s="25"/>
      <c r="C31" s="25"/>
      <c r="D31" s="25"/>
      <c r="E31" s="88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0"/>
      <c r="B32" s="25"/>
      <c r="C32" s="25"/>
      <c r="D32" s="25"/>
      <c r="E32" s="88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0"/>
      <c r="B33" s="25"/>
      <c r="C33" s="25"/>
      <c r="D33" s="25"/>
      <c r="E33" s="88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0"/>
      <c r="B34" s="25"/>
      <c r="C34" s="25"/>
      <c r="D34" s="25"/>
      <c r="E34" s="88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0"/>
      <c r="B35" s="25"/>
      <c r="C35" s="25"/>
      <c r="D35" s="25"/>
      <c r="E35" s="88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0"/>
      <c r="B36" s="25"/>
      <c r="C36" s="25"/>
      <c r="D36" s="25"/>
      <c r="E36" s="88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90"/>
      <c r="B37" s="25"/>
      <c r="C37" s="25"/>
      <c r="D37" s="25"/>
      <c r="E37" s="88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8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8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8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8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8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8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8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8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8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8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8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8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8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8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8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8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8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8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8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8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8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8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8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8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8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8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8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8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8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8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8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8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8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8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8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8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8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8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8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8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8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8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8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8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8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8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8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8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8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8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8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8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8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8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8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8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8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8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8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8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8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8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8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8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8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8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8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8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8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8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8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8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8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8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8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8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8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8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8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8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8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8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8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8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8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8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8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8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8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8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8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8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8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8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8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8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8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8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8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8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8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8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8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8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8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8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8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91"/>
      <c r="V971" s="91"/>
      <c r="W971" s="91"/>
      <c r="X971" s="91"/>
      <c r="Y971" s="91"/>
      <c r="Z971" s="91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91"/>
      <c r="V972" s="91"/>
      <c r="W972" s="91"/>
      <c r="X972" s="91"/>
      <c r="Y972" s="91"/>
      <c r="Z972" s="91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91"/>
      <c r="V973" s="91"/>
      <c r="W973" s="91"/>
      <c r="X973" s="91"/>
      <c r="Y973" s="91"/>
      <c r="Z973" s="91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91"/>
      <c r="V974" s="91"/>
      <c r="W974" s="91"/>
      <c r="X974" s="91"/>
      <c r="Y974" s="91"/>
      <c r="Z974" s="91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91"/>
      <c r="V975" s="91"/>
      <c r="W975" s="91"/>
      <c r="X975" s="91"/>
      <c r="Y975" s="91"/>
      <c r="Z975" s="91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91"/>
      <c r="V976" s="91"/>
      <c r="W976" s="91"/>
      <c r="X976" s="91"/>
      <c r="Y976" s="91"/>
      <c r="Z976" s="91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91"/>
      <c r="V977" s="91"/>
      <c r="W977" s="91"/>
      <c r="X977" s="91"/>
      <c r="Y977" s="91"/>
      <c r="Z977" s="91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91"/>
      <c r="V978" s="91"/>
      <c r="W978" s="91"/>
      <c r="X978" s="91"/>
      <c r="Y978" s="91"/>
      <c r="Z978" s="91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91"/>
      <c r="V979" s="91"/>
      <c r="W979" s="91"/>
      <c r="X979" s="91"/>
      <c r="Y979" s="91"/>
      <c r="Z979" s="91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91"/>
      <c r="V980" s="91"/>
      <c r="W980" s="91"/>
      <c r="X980" s="91"/>
      <c r="Y980" s="91"/>
      <c r="Z980" s="91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91"/>
      <c r="V981" s="91"/>
      <c r="W981" s="91"/>
      <c r="X981" s="91"/>
      <c r="Y981" s="91"/>
      <c r="Z981" s="91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91"/>
      <c r="V982" s="91"/>
      <c r="W982" s="91"/>
      <c r="X982" s="91"/>
      <c r="Y982" s="91"/>
      <c r="Z982" s="91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91"/>
      <c r="V983" s="91"/>
      <c r="W983" s="91"/>
      <c r="X983" s="91"/>
      <c r="Y983" s="91"/>
      <c r="Z983" s="91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91"/>
      <c r="V984" s="91"/>
      <c r="W984" s="91"/>
      <c r="X984" s="91"/>
      <c r="Y984" s="91"/>
      <c r="Z984" s="91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91"/>
      <c r="V985" s="91"/>
      <c r="W985" s="91"/>
      <c r="X985" s="91"/>
      <c r="Y985" s="91"/>
      <c r="Z985" s="91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91"/>
      <c r="V986" s="91"/>
      <c r="W986" s="91"/>
      <c r="X986" s="91"/>
      <c r="Y986" s="91"/>
      <c r="Z986" s="91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91"/>
      <c r="V987" s="91"/>
      <c r="W987" s="91"/>
      <c r="X987" s="91"/>
      <c r="Y987" s="91"/>
      <c r="Z987" s="91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91"/>
      <c r="V988" s="91"/>
      <c r="W988" s="91"/>
      <c r="X988" s="91"/>
      <c r="Y988" s="91"/>
      <c r="Z988" s="91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91"/>
      <c r="V989" s="91"/>
      <c r="W989" s="91"/>
      <c r="X989" s="91"/>
      <c r="Y989" s="91"/>
      <c r="Z989" s="91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91"/>
      <c r="V990" s="91"/>
      <c r="W990" s="91"/>
      <c r="X990" s="91"/>
      <c r="Y990" s="91"/>
      <c r="Z990" s="91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91"/>
      <c r="V991" s="91"/>
      <c r="W991" s="91"/>
      <c r="X991" s="91"/>
      <c r="Y991" s="91"/>
      <c r="Z991" s="91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91"/>
      <c r="V992" s="91"/>
      <c r="W992" s="91"/>
      <c r="X992" s="91"/>
      <c r="Y992" s="91"/>
      <c r="Z992" s="91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91"/>
      <c r="V993" s="91"/>
      <c r="W993" s="91"/>
      <c r="X993" s="91"/>
      <c r="Y993" s="91"/>
      <c r="Z993" s="91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91"/>
      <c r="V994" s="91"/>
      <c r="W994" s="91"/>
      <c r="X994" s="91"/>
      <c r="Y994" s="91"/>
      <c r="Z994" s="91"/>
    </row>
    <row r="995">
      <c r="A995" s="4"/>
      <c r="B995" s="4"/>
      <c r="C995" s="4"/>
      <c r="D995" s="4"/>
      <c r="E995" s="4"/>
      <c r="F995" s="4"/>
      <c r="G995" s="4"/>
      <c r="H995" s="9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91"/>
      <c r="V995" s="91"/>
      <c r="W995" s="91"/>
      <c r="X995" s="91"/>
      <c r="Y995" s="91"/>
      <c r="Z995" s="91"/>
    </row>
    <row r="996">
      <c r="A996" s="4"/>
      <c r="B996" s="4"/>
      <c r="C996" s="4"/>
      <c r="D996" s="4"/>
      <c r="E996" s="4"/>
      <c r="F996" s="4"/>
      <c r="G996" s="4"/>
      <c r="H996" s="9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91"/>
      <c r="V996" s="91"/>
      <c r="W996" s="91"/>
      <c r="X996" s="91"/>
      <c r="Y996" s="91"/>
      <c r="Z996" s="91"/>
    </row>
    <row r="997">
      <c r="A997" s="4"/>
      <c r="B997" s="4"/>
      <c r="C997" s="4"/>
      <c r="D997" s="4"/>
      <c r="E997" s="4"/>
      <c r="F997" s="4"/>
      <c r="G997" s="4"/>
      <c r="H997" s="9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91"/>
      <c r="V997" s="91"/>
      <c r="W997" s="91"/>
      <c r="X997" s="91"/>
      <c r="Y997" s="91"/>
      <c r="Z997" s="91"/>
    </row>
    <row r="998">
      <c r="A998" s="4"/>
      <c r="B998" s="4"/>
      <c r="C998" s="4"/>
      <c r="D998" s="4"/>
      <c r="E998" s="4"/>
      <c r="F998" s="4"/>
      <c r="G998" s="4"/>
      <c r="H998" s="9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91"/>
      <c r="V998" s="91"/>
      <c r="W998" s="91"/>
      <c r="X998" s="91"/>
      <c r="Y998" s="91"/>
      <c r="Z998" s="91"/>
    </row>
    <row r="999">
      <c r="A999" s="4"/>
      <c r="B999" s="4"/>
      <c r="C999" s="4"/>
      <c r="D999" s="4"/>
      <c r="E999" s="4"/>
      <c r="F999" s="4"/>
      <c r="G999" s="4"/>
      <c r="H999" s="9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91"/>
      <c r="V999" s="91"/>
      <c r="W999" s="91"/>
      <c r="X999" s="91"/>
      <c r="Y999" s="91"/>
      <c r="Z999" s="91"/>
    </row>
    <row r="1000">
      <c r="A1000" s="4"/>
      <c r="B1000" s="4"/>
      <c r="C1000" s="4"/>
      <c r="D1000" s="4"/>
      <c r="E1000" s="4"/>
      <c r="F1000" s="4"/>
      <c r="G1000" s="4"/>
      <c r="H1000" s="9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91"/>
      <c r="V1000" s="91"/>
      <c r="W1000" s="91"/>
      <c r="X1000" s="91"/>
      <c r="Y1000" s="91"/>
      <c r="Z1000" s="91"/>
    </row>
    <row r="1001">
      <c r="A1001" s="4"/>
      <c r="B1001" s="4"/>
      <c r="C1001" s="4"/>
      <c r="D1001" s="4"/>
      <c r="E1001" s="4"/>
      <c r="F1001" s="4"/>
      <c r="G1001" s="4"/>
      <c r="H1001" s="9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91"/>
      <c r="V1001" s="91"/>
      <c r="W1001" s="91"/>
      <c r="X1001" s="91"/>
      <c r="Y1001" s="91"/>
      <c r="Z1001" s="91"/>
    </row>
    <row r="1002">
      <c r="A1002" s="4"/>
      <c r="B1002" s="4"/>
      <c r="C1002" s="4"/>
      <c r="D1002" s="4"/>
      <c r="E1002" s="4"/>
      <c r="F1002" s="4"/>
      <c r="G1002" s="4"/>
      <c r="H1002" s="9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91"/>
      <c r="V1002" s="91"/>
      <c r="W1002" s="91"/>
      <c r="X1002" s="91"/>
      <c r="Y1002" s="91"/>
      <c r="Z1002" s="91"/>
    </row>
    <row r="1003">
      <c r="A1003" s="4"/>
      <c r="B1003" s="4"/>
      <c r="C1003" s="4"/>
      <c r="D1003" s="4"/>
      <c r="E1003" s="4"/>
      <c r="F1003" s="4"/>
      <c r="G1003" s="4"/>
      <c r="H1003" s="9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91"/>
      <c r="V1003" s="91"/>
      <c r="W1003" s="91"/>
      <c r="X1003" s="91"/>
      <c r="Y1003" s="91"/>
      <c r="Z1003" s="91"/>
    </row>
    <row r="1004">
      <c r="A1004" s="4"/>
      <c r="B1004" s="4"/>
      <c r="C1004" s="4"/>
      <c r="D1004" s="4"/>
      <c r="E1004" s="4"/>
      <c r="F1004" s="4"/>
      <c r="G1004" s="4"/>
      <c r="H1004" s="9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91"/>
      <c r="V1004" s="91"/>
      <c r="W1004" s="91"/>
      <c r="X1004" s="91"/>
      <c r="Y1004" s="91"/>
      <c r="Z1004" s="91"/>
    </row>
    <row r="1005">
      <c r="A1005" s="4"/>
      <c r="B1005" s="4"/>
      <c r="C1005" s="4"/>
      <c r="D1005" s="4"/>
      <c r="E1005" s="4"/>
      <c r="F1005" s="4"/>
      <c r="G1005" s="4"/>
      <c r="H1005" s="9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91"/>
      <c r="V1005" s="91"/>
      <c r="W1005" s="91"/>
      <c r="X1005" s="91"/>
      <c r="Y1005" s="91"/>
      <c r="Z1005" s="9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98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98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98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98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98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98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98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2"/>
      <c r="B16" s="80"/>
      <c r="C16" s="93"/>
      <c r="D16" s="94"/>
      <c r="E16" s="95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2"/>
      <c r="B17" s="80"/>
      <c r="C17" s="93"/>
      <c r="D17" s="94"/>
      <c r="E17" s="95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2"/>
      <c r="B18" s="80"/>
      <c r="C18" s="93"/>
      <c r="D18" s="94"/>
      <c r="E18" s="95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84"/>
      <c r="B19" s="85"/>
      <c r="C19" s="86"/>
      <c r="D19" s="87"/>
      <c r="E19" s="88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89"/>
      <c r="B20" s="85"/>
      <c r="C20" s="86"/>
      <c r="D20" s="87"/>
      <c r="E20" s="88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89"/>
      <c r="B21" s="85"/>
      <c r="C21" s="86"/>
      <c r="D21" s="87"/>
      <c r="E21" s="88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84"/>
      <c r="B22" s="85"/>
      <c r="C22" s="86"/>
      <c r="D22" s="87"/>
      <c r="E22" s="88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89"/>
      <c r="B23" s="85"/>
      <c r="C23" s="25"/>
      <c r="D23" s="90"/>
      <c r="E23" s="88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89"/>
      <c r="B24" s="85"/>
      <c r="C24" s="25"/>
      <c r="D24" s="90"/>
      <c r="E24" s="88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89"/>
      <c r="B25" s="85"/>
      <c r="C25" s="25"/>
      <c r="D25" s="90"/>
      <c r="E25" s="88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89"/>
      <c r="B26" s="25"/>
      <c r="C26" s="25"/>
      <c r="D26" s="90"/>
      <c r="E26" s="88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89"/>
      <c r="B27" s="25"/>
      <c r="C27" s="25"/>
      <c r="D27" s="90"/>
      <c r="E27" s="88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89"/>
      <c r="B28" s="25"/>
      <c r="C28" s="25"/>
      <c r="D28" s="90"/>
      <c r="E28" s="88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0"/>
      <c r="B29" s="25"/>
      <c r="C29" s="25"/>
      <c r="D29" s="25"/>
      <c r="E29" s="88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0"/>
      <c r="B30" s="25"/>
      <c r="C30" s="25"/>
      <c r="D30" s="25"/>
      <c r="E30" s="88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0"/>
      <c r="B31" s="25"/>
      <c r="C31" s="25"/>
      <c r="D31" s="25"/>
      <c r="E31" s="88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0"/>
      <c r="B32" s="25"/>
      <c r="C32" s="25"/>
      <c r="D32" s="25"/>
      <c r="E32" s="88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0"/>
      <c r="B33" s="25"/>
      <c r="C33" s="25"/>
      <c r="D33" s="25"/>
      <c r="E33" s="88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0"/>
      <c r="B34" s="25"/>
      <c r="C34" s="25"/>
      <c r="D34" s="25"/>
      <c r="E34" s="88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0"/>
      <c r="B35" s="25"/>
      <c r="C35" s="25"/>
      <c r="D35" s="25"/>
      <c r="E35" s="88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0"/>
      <c r="B36" s="25"/>
      <c r="C36" s="25"/>
      <c r="D36" s="25"/>
      <c r="E36" s="88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90"/>
      <c r="B37" s="25"/>
      <c r="C37" s="25"/>
      <c r="D37" s="25"/>
      <c r="E37" s="88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8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8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8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8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8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8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8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8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8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8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8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8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8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8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8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8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8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8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8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8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8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8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8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8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8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8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8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8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8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8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8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8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8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8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8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8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8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8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8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8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8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8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8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8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8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8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8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8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8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8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8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8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8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8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8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8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8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8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8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8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8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8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8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8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8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8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8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8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8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8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8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8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8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8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8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8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8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8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8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8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8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8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8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8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8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8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8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8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8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8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8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8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8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8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8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8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8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8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8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8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8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8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8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8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8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8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8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91"/>
      <c r="V971" s="91"/>
      <c r="W971" s="91"/>
      <c r="X971" s="91"/>
      <c r="Y971" s="91"/>
      <c r="Z971" s="91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91"/>
      <c r="V972" s="91"/>
      <c r="W972" s="91"/>
      <c r="X972" s="91"/>
      <c r="Y972" s="91"/>
      <c r="Z972" s="91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91"/>
      <c r="V973" s="91"/>
      <c r="W973" s="91"/>
      <c r="X973" s="91"/>
      <c r="Y973" s="91"/>
      <c r="Z973" s="91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91"/>
      <c r="V974" s="91"/>
      <c r="W974" s="91"/>
      <c r="X974" s="91"/>
      <c r="Y974" s="91"/>
      <c r="Z974" s="91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91"/>
      <c r="V975" s="91"/>
      <c r="W975" s="91"/>
      <c r="X975" s="91"/>
      <c r="Y975" s="91"/>
      <c r="Z975" s="91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91"/>
      <c r="V976" s="91"/>
      <c r="W976" s="91"/>
      <c r="X976" s="91"/>
      <c r="Y976" s="91"/>
      <c r="Z976" s="91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91"/>
      <c r="V977" s="91"/>
      <c r="W977" s="91"/>
      <c r="X977" s="91"/>
      <c r="Y977" s="91"/>
      <c r="Z977" s="91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91"/>
      <c r="V978" s="91"/>
      <c r="W978" s="91"/>
      <c r="X978" s="91"/>
      <c r="Y978" s="91"/>
      <c r="Z978" s="91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91"/>
      <c r="V979" s="91"/>
      <c r="W979" s="91"/>
      <c r="X979" s="91"/>
      <c r="Y979" s="91"/>
      <c r="Z979" s="91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91"/>
      <c r="V980" s="91"/>
      <c r="W980" s="91"/>
      <c r="X980" s="91"/>
      <c r="Y980" s="91"/>
      <c r="Z980" s="91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91"/>
      <c r="V981" s="91"/>
      <c r="W981" s="91"/>
      <c r="X981" s="91"/>
      <c r="Y981" s="91"/>
      <c r="Z981" s="91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91"/>
      <c r="V982" s="91"/>
      <c r="W982" s="91"/>
      <c r="X982" s="91"/>
      <c r="Y982" s="91"/>
      <c r="Z982" s="91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91"/>
      <c r="V983" s="91"/>
      <c r="W983" s="91"/>
      <c r="X983" s="91"/>
      <c r="Y983" s="91"/>
      <c r="Z983" s="91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91"/>
      <c r="V984" s="91"/>
      <c r="W984" s="91"/>
      <c r="X984" s="91"/>
      <c r="Y984" s="91"/>
      <c r="Z984" s="91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91"/>
      <c r="V985" s="91"/>
      <c r="W985" s="91"/>
      <c r="X985" s="91"/>
      <c r="Y985" s="91"/>
      <c r="Z985" s="91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91"/>
      <c r="V986" s="91"/>
      <c r="W986" s="91"/>
      <c r="X986" s="91"/>
      <c r="Y986" s="91"/>
      <c r="Z986" s="91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91"/>
      <c r="V987" s="91"/>
      <c r="W987" s="91"/>
      <c r="X987" s="91"/>
      <c r="Y987" s="91"/>
      <c r="Z987" s="91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91"/>
      <c r="V988" s="91"/>
      <c r="W988" s="91"/>
      <c r="X988" s="91"/>
      <c r="Y988" s="91"/>
      <c r="Z988" s="91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91"/>
      <c r="V989" s="91"/>
      <c r="W989" s="91"/>
      <c r="X989" s="91"/>
      <c r="Y989" s="91"/>
      <c r="Z989" s="91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91"/>
      <c r="V990" s="91"/>
      <c r="W990" s="91"/>
      <c r="X990" s="91"/>
      <c r="Y990" s="91"/>
      <c r="Z990" s="91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91"/>
      <c r="V991" s="91"/>
      <c r="W991" s="91"/>
      <c r="X991" s="91"/>
      <c r="Y991" s="91"/>
      <c r="Z991" s="91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91"/>
      <c r="V992" s="91"/>
      <c r="W992" s="91"/>
      <c r="X992" s="91"/>
      <c r="Y992" s="91"/>
      <c r="Z992" s="91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91"/>
      <c r="V993" s="91"/>
      <c r="W993" s="91"/>
      <c r="X993" s="91"/>
      <c r="Y993" s="91"/>
      <c r="Z993" s="91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91"/>
      <c r="V994" s="91"/>
      <c r="W994" s="91"/>
      <c r="X994" s="91"/>
      <c r="Y994" s="91"/>
      <c r="Z994" s="91"/>
    </row>
    <row r="995">
      <c r="A995" s="4"/>
      <c r="B995" s="4"/>
      <c r="C995" s="4"/>
      <c r="D995" s="4"/>
      <c r="E995" s="4"/>
      <c r="F995" s="4"/>
      <c r="G995" s="4"/>
      <c r="H995" s="9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91"/>
      <c r="V995" s="91"/>
      <c r="W995" s="91"/>
      <c r="X995" s="91"/>
      <c r="Y995" s="91"/>
      <c r="Z995" s="91"/>
    </row>
    <row r="996">
      <c r="A996" s="4"/>
      <c r="B996" s="4"/>
      <c r="C996" s="4"/>
      <c r="D996" s="4"/>
      <c r="E996" s="4"/>
      <c r="F996" s="4"/>
      <c r="G996" s="4"/>
      <c r="H996" s="9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91"/>
      <c r="V996" s="91"/>
      <c r="W996" s="91"/>
      <c r="X996" s="91"/>
      <c r="Y996" s="91"/>
      <c r="Z996" s="91"/>
    </row>
    <row r="997">
      <c r="A997" s="4"/>
      <c r="B997" s="4"/>
      <c r="C997" s="4"/>
      <c r="D997" s="4"/>
      <c r="E997" s="4"/>
      <c r="F997" s="4"/>
      <c r="G997" s="4"/>
      <c r="H997" s="9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91"/>
      <c r="V997" s="91"/>
      <c r="W997" s="91"/>
      <c r="X997" s="91"/>
      <c r="Y997" s="91"/>
      <c r="Z997" s="91"/>
    </row>
    <row r="998">
      <c r="A998" s="4"/>
      <c r="B998" s="4"/>
      <c r="C998" s="4"/>
      <c r="D998" s="4"/>
      <c r="E998" s="4"/>
      <c r="F998" s="4"/>
      <c r="G998" s="4"/>
      <c r="H998" s="9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91"/>
      <c r="V998" s="91"/>
      <c r="W998" s="91"/>
      <c r="X998" s="91"/>
      <c r="Y998" s="91"/>
      <c r="Z998" s="91"/>
    </row>
    <row r="999">
      <c r="A999" s="4"/>
      <c r="B999" s="4"/>
      <c r="C999" s="4"/>
      <c r="D999" s="4"/>
      <c r="E999" s="4"/>
      <c r="F999" s="4"/>
      <c r="G999" s="4"/>
      <c r="H999" s="9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91"/>
      <c r="V999" s="91"/>
      <c r="W999" s="91"/>
      <c r="X999" s="91"/>
      <c r="Y999" s="91"/>
      <c r="Z999" s="91"/>
    </row>
    <row r="1000">
      <c r="A1000" s="4"/>
      <c r="B1000" s="4"/>
      <c r="C1000" s="4"/>
      <c r="D1000" s="4"/>
      <c r="E1000" s="4"/>
      <c r="F1000" s="4"/>
      <c r="G1000" s="4"/>
      <c r="H1000" s="9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91"/>
      <c r="V1000" s="91"/>
      <c r="W1000" s="91"/>
      <c r="X1000" s="91"/>
      <c r="Y1000" s="91"/>
      <c r="Z1000" s="91"/>
    </row>
    <row r="1001">
      <c r="A1001" s="4"/>
      <c r="B1001" s="4"/>
      <c r="C1001" s="4"/>
      <c r="D1001" s="4"/>
      <c r="E1001" s="4"/>
      <c r="F1001" s="4"/>
      <c r="G1001" s="4"/>
      <c r="H1001" s="9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91"/>
      <c r="V1001" s="91"/>
      <c r="W1001" s="91"/>
      <c r="X1001" s="91"/>
      <c r="Y1001" s="91"/>
      <c r="Z1001" s="91"/>
    </row>
    <row r="1002">
      <c r="A1002" s="4"/>
      <c r="B1002" s="4"/>
      <c r="C1002" s="4"/>
      <c r="D1002" s="4"/>
      <c r="E1002" s="4"/>
      <c r="F1002" s="4"/>
      <c r="G1002" s="4"/>
      <c r="H1002" s="9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91"/>
      <c r="V1002" s="91"/>
      <c r="W1002" s="91"/>
      <c r="X1002" s="91"/>
      <c r="Y1002" s="91"/>
      <c r="Z1002" s="91"/>
    </row>
    <row r="1003">
      <c r="A1003" s="4"/>
      <c r="B1003" s="4"/>
      <c r="C1003" s="4"/>
      <c r="D1003" s="4"/>
      <c r="E1003" s="4"/>
      <c r="F1003" s="4"/>
      <c r="G1003" s="4"/>
      <c r="H1003" s="9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91"/>
      <c r="V1003" s="91"/>
      <c r="W1003" s="91"/>
      <c r="X1003" s="91"/>
      <c r="Y1003" s="91"/>
      <c r="Z1003" s="91"/>
    </row>
    <row r="1004">
      <c r="A1004" s="4"/>
      <c r="B1004" s="4"/>
      <c r="C1004" s="4"/>
      <c r="D1004" s="4"/>
      <c r="E1004" s="4"/>
      <c r="F1004" s="4"/>
      <c r="G1004" s="4"/>
      <c r="H1004" s="9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91"/>
      <c r="V1004" s="91"/>
      <c r="W1004" s="91"/>
      <c r="X1004" s="91"/>
      <c r="Y1004" s="91"/>
      <c r="Z1004" s="91"/>
    </row>
    <row r="1005">
      <c r="A1005" s="4"/>
      <c r="B1005" s="4"/>
      <c r="C1005" s="4"/>
      <c r="D1005" s="4"/>
      <c r="E1005" s="4"/>
      <c r="F1005" s="4"/>
      <c r="G1005" s="4"/>
      <c r="H1005" s="9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91"/>
      <c r="V1005" s="91"/>
      <c r="W1005" s="91"/>
      <c r="X1005" s="91"/>
      <c r="Y1005" s="91"/>
      <c r="Z1005" s="9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