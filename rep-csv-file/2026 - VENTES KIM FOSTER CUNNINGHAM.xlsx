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if" sheetId="1" r:id="rId4"/>
    <sheet state="visible" name="Paye" sheetId="2" r:id="rId5"/>
    <sheet state="visible" name="Janvier" sheetId="3" r:id="rId6"/>
    <sheet state="visible" name="Février" sheetId="4" r:id="rId7"/>
    <sheet state="visible" name="Mars" sheetId="5" r:id="rId8"/>
    <sheet state="visible" name="Avril" sheetId="6" r:id="rId9"/>
    <sheet state="visible" name="Mai" sheetId="7" r:id="rId10"/>
    <sheet state="visible" name="Juin" sheetId="8" r:id="rId11"/>
    <sheet state="visible" name="Juillet" sheetId="9" r:id="rId12"/>
    <sheet state="visible" name="Août" sheetId="10" r:id="rId13"/>
    <sheet state="visible" name="Septembre" sheetId="11" r:id="rId14"/>
    <sheet state="visible" name="Octobre" sheetId="12" r:id="rId15"/>
    <sheet state="visible" name="Novembre" sheetId="13" r:id="rId16"/>
    <sheet state="visible" name="Décembre" sheetId="14" r:id="rId17"/>
  </sheets>
  <definedNames>
    <definedName hidden="1" localSheetId="2" name="_xlnm._FilterDatabase">Janvier!$A$7:$G$210</definedName>
    <definedName hidden="1" localSheetId="4" name="_xlnm._FilterDatabase">Mars!$A$7:$G$212</definedName>
    <definedName hidden="1" localSheetId="5" name="_xlnm._FilterDatabase">Avril!$A$7:$G$212</definedName>
    <definedName hidden="1" localSheetId="8" name="_xlnm._FilterDatabase">Juillet!$A$7:$G$212</definedName>
    <definedName hidden="1" localSheetId="10" name="_xlnm._FilterDatabase">Septembre!$A$7:$G$212</definedName>
    <definedName hidden="1" localSheetId="11" name="_xlnm._FilterDatabase">Octobre!$A$7:$G$212</definedName>
  </definedNames>
  <calcPr/>
</workbook>
</file>

<file path=xl/sharedStrings.xml><?xml version="1.0" encoding="utf-8"?>
<sst xmlns="http://schemas.openxmlformats.org/spreadsheetml/2006/main" count="1512" uniqueCount="497">
  <si>
    <t>OBJECTIF ANNUEL</t>
  </si>
  <si>
    <t>Total</t>
  </si>
  <si>
    <t>Période</t>
  </si>
  <si>
    <t>Objectif</t>
  </si>
  <si>
    <t>% atteint</t>
  </si>
  <si>
    <t>Vente de l'année</t>
  </si>
  <si>
    <t>JANVIER</t>
  </si>
  <si>
    <t>FÉVRIER</t>
  </si>
  <si>
    <t>Objectif de vente annuel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</si>
  <si>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</si>
  <si>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</si>
  <si>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</si>
  <si>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</si>
  <si>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</si>
  <si>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</si>
  <si>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</si>
  <si>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</si>
  <si>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</si>
  <si>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</si>
  <si>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MULTI-ANNONCEURS</t>
  </si>
  <si>
    <t>PROMOTIONNEL</t>
  </si>
  <si>
    <t>DIST. PUBLICITAIRE SOLO</t>
  </si>
  <si>
    <t>NUMÉRIQUE</t>
  </si>
  <si>
    <t>APPLICATION</t>
  </si>
  <si>
    <t>SERVICES IA</t>
  </si>
  <si>
    <t xml:space="preserve">PAIEMENT AFFICHEZ </t>
  </si>
  <si>
    <t>SOLDE ANNÉE PRÉCÉDANTE</t>
  </si>
  <si>
    <t>PAYE #</t>
  </si>
  <si>
    <t>Salaire de base</t>
  </si>
  <si>
    <t>Commission</t>
  </si>
  <si>
    <t>Remboursement de dépenses</t>
  </si>
  <si>
    <t>Fériés</t>
  </si>
  <si>
    <t>Vacances</t>
  </si>
  <si>
    <t>MON BONUS ANNUEL</t>
  </si>
  <si>
    <t>COMMISSION 2025 FACTURÉES</t>
  </si>
  <si>
    <t>MONTANT EN BANQUE</t>
  </si>
  <si>
    <t>VACANCES ET FÉRIÉS</t>
  </si>
  <si>
    <t>VOIR SUR VOTRE TALON DE PAIE</t>
  </si>
  <si>
    <t>AUTRE (TOTAL)</t>
  </si>
  <si>
    <t>SOMME</t>
  </si>
  <si>
    <t>Totaux</t>
  </si>
  <si>
    <t>MÉDIA MULTI-ANNONCEURS</t>
  </si>
  <si>
    <t>Vente</t>
  </si>
  <si>
    <t>CLIENT</t>
  </si>
  <si>
    <t>TOTAL (AVANT TAXES)</t>
  </si>
  <si>
    <t># FACTURE</t>
  </si>
  <si>
    <t>DATE</t>
  </si>
  <si>
    <t>REPRÉSENTANT</t>
  </si>
  <si>
    <t>DÉPARTEMENT</t>
  </si>
  <si>
    <t>COMMISSION</t>
  </si>
  <si>
    <t>Capella</t>
  </si>
  <si>
    <t>QC-019023</t>
  </si>
  <si>
    <t>Kim Foster Cunningham</t>
  </si>
  <si>
    <t>Entretien DP</t>
  </si>
  <si>
    <t>QC-019077</t>
  </si>
  <si>
    <t>AGENCE PUB</t>
  </si>
  <si>
    <t>Super beauté coiffure</t>
  </si>
  <si>
    <t>QC-019088</t>
  </si>
  <si>
    <t>VR Surmesur</t>
  </si>
  <si>
    <t>QC-019090</t>
  </si>
  <si>
    <t>Cameron Gestion Radon</t>
  </si>
  <si>
    <t>QC-019092</t>
  </si>
  <si>
    <t>Paysagement Levasseur</t>
  </si>
  <si>
    <t>QC-019101</t>
  </si>
  <si>
    <t>Céramique Pissinis</t>
  </si>
  <si>
    <t>QC-019105</t>
  </si>
  <si>
    <t>Patio Modèle</t>
  </si>
  <si>
    <t>QC-019109</t>
  </si>
  <si>
    <t>Pro-multiples</t>
  </si>
  <si>
    <t>QC-019111</t>
  </si>
  <si>
    <t>TRACKZ MOBILITÉ</t>
  </si>
  <si>
    <t>QC-019118</t>
  </si>
  <si>
    <t>AGENCE WEB</t>
  </si>
  <si>
    <t>Motorisés de la capitale</t>
  </si>
  <si>
    <t>QC-019124</t>
  </si>
  <si>
    <t>Transport Multi Vrac</t>
  </si>
  <si>
    <t>QC-019141</t>
  </si>
  <si>
    <t>Groupe NOBELHAUS cuisine festive</t>
  </si>
  <si>
    <t>QC-019142</t>
  </si>
  <si>
    <t>Immeubles Roussin</t>
  </si>
  <si>
    <t>QC-019145</t>
  </si>
  <si>
    <t>QC-019147</t>
  </si>
  <si>
    <t>CN-01059</t>
  </si>
  <si>
    <t>CN-01060</t>
  </si>
  <si>
    <t>QC-019129</t>
  </si>
  <si>
    <t>Peinture le sommet</t>
  </si>
  <si>
    <t>QC-019131</t>
  </si>
  <si>
    <t>Résidence Saint-François</t>
  </si>
  <si>
    <t>QC-019135</t>
  </si>
  <si>
    <t>Patio Concept Construction</t>
  </si>
  <si>
    <t>QC-019136</t>
  </si>
  <si>
    <t>Pro du patio</t>
  </si>
  <si>
    <t>CN-01063</t>
  </si>
  <si>
    <t>Pomme Salade inc.</t>
  </si>
  <si>
    <t>QC-019154</t>
  </si>
  <si>
    <t>Boralex</t>
  </si>
  <si>
    <t>QC-019156</t>
  </si>
  <si>
    <t>Jean-Sébastien Lessard</t>
  </si>
  <si>
    <t>QC-019159</t>
  </si>
  <si>
    <t>L2 Construction</t>
  </si>
  <si>
    <t>QC-019168</t>
  </si>
  <si>
    <t>Signature AP</t>
  </si>
  <si>
    <t>QC-019172</t>
  </si>
  <si>
    <t>CONSTRUCTION FORTIER</t>
  </si>
  <si>
    <t>QC-019174</t>
  </si>
  <si>
    <t>QC-019176</t>
  </si>
  <si>
    <t>QC-019187</t>
  </si>
  <si>
    <t>QC-019189</t>
  </si>
  <si>
    <t>Roxanne Cuisine</t>
  </si>
  <si>
    <t>CN-01066</t>
  </si>
  <si>
    <t>Yéti Construction</t>
  </si>
  <si>
    <t>CN-01067</t>
  </si>
  <si>
    <t>Aubert Marois</t>
  </si>
  <si>
    <t>QC-019198</t>
  </si>
  <si>
    <t>QC-019243</t>
  </si>
  <si>
    <t>LOKIA</t>
  </si>
  <si>
    <t>QC-019236</t>
  </si>
  <si>
    <t>Catherine Labrecque Inc.</t>
  </si>
  <si>
    <t>QC-019230</t>
  </si>
  <si>
    <t>QC-019225</t>
  </si>
  <si>
    <t>Croisières AML</t>
  </si>
  <si>
    <t>QC-019222</t>
  </si>
  <si>
    <t>Generaplus</t>
  </si>
  <si>
    <t>QC-019220</t>
  </si>
  <si>
    <t>QC-019218</t>
  </si>
  <si>
    <t>Toiture Cameron Construction</t>
  </si>
  <si>
    <t>QC-019217</t>
  </si>
  <si>
    <t>QC-019215</t>
  </si>
  <si>
    <t>Paysagement Vert design</t>
  </si>
  <si>
    <t>QC-019209</t>
  </si>
  <si>
    <t>QC-019206</t>
  </si>
  <si>
    <t>Clinique dentaire maguire</t>
  </si>
  <si>
    <t>QC-019320</t>
  </si>
  <si>
    <t>QC-019319</t>
  </si>
  <si>
    <t>SST Consultants</t>
  </si>
  <si>
    <t>QC-019317</t>
  </si>
  <si>
    <t>Construction Rénovation RF Inc.</t>
  </si>
  <si>
    <t>QC-019315</t>
  </si>
  <si>
    <t>QC-019313</t>
  </si>
  <si>
    <t>QC-019312</t>
  </si>
  <si>
    <t>QC-019311</t>
  </si>
  <si>
    <t>QC-019310</t>
  </si>
  <si>
    <t>QC-019309</t>
  </si>
  <si>
    <t>QC-019308</t>
  </si>
  <si>
    <t>La porte rouge</t>
  </si>
  <si>
    <t>QC-019307</t>
  </si>
  <si>
    <t>La Cabane du Ravage Pohénégamook</t>
  </si>
  <si>
    <t>QC-019306</t>
  </si>
  <si>
    <t>QC-019305</t>
  </si>
  <si>
    <t>Groupe Domus Construction</t>
  </si>
  <si>
    <t>QC-019302</t>
  </si>
  <si>
    <t>QC-019301</t>
  </si>
  <si>
    <t>Aluminart Architectural</t>
  </si>
  <si>
    <t>QC-019298</t>
  </si>
  <si>
    <t>Excavation Concepta</t>
  </si>
  <si>
    <t>QC-019297</t>
  </si>
  <si>
    <t>Entreprises CRC</t>
  </si>
  <si>
    <t>QC-019296</t>
  </si>
  <si>
    <t>QC-019286</t>
  </si>
  <si>
    <t>Boucher Blouin Entretien</t>
  </si>
  <si>
    <t>QC-019282</t>
  </si>
  <si>
    <t>APEX désamiantage</t>
  </si>
  <si>
    <t>QC-019280</t>
  </si>
  <si>
    <t>Billard Robert</t>
  </si>
  <si>
    <t>QC-019277</t>
  </si>
  <si>
    <t>QC-019272</t>
  </si>
  <si>
    <t>QC-019261</t>
  </si>
  <si>
    <t>QC-019259</t>
  </si>
  <si>
    <t>QC-019256</t>
  </si>
  <si>
    <t>Groupe Cabico Inc.</t>
  </si>
  <si>
    <t>QC-019255</t>
  </si>
  <si>
    <t>CJP Québec</t>
  </si>
  <si>
    <t>QC-019254</t>
  </si>
  <si>
    <t>QC-019251</t>
  </si>
  <si>
    <t>Imedia</t>
  </si>
  <si>
    <t>QC-019250</t>
  </si>
  <si>
    <t>QC-019249</t>
  </si>
  <si>
    <t>QC-019395</t>
  </si>
  <si>
    <t>Transfert Consul</t>
  </si>
  <si>
    <t>QC-019393</t>
  </si>
  <si>
    <t>QC-019391</t>
  </si>
  <si>
    <t>QC-019389</t>
  </si>
  <si>
    <t>Loisirs Lebourgneuf</t>
  </si>
  <si>
    <t>QC-019386</t>
  </si>
  <si>
    <t>Garderie Peluche Clémentine</t>
  </si>
  <si>
    <t>QC-019385</t>
  </si>
  <si>
    <t>QC-019383</t>
  </si>
  <si>
    <t>QC-019379</t>
  </si>
  <si>
    <t>QC-019373</t>
  </si>
  <si>
    <t>QC-019359</t>
  </si>
  <si>
    <t>QC-019357</t>
  </si>
  <si>
    <t>VANdredi location inc</t>
  </si>
  <si>
    <t>QC-019353</t>
  </si>
  <si>
    <t>Pneus FRB</t>
  </si>
  <si>
    <t>QC-019327</t>
  </si>
  <si>
    <t>Les fenêtres Guy Fafard et Fils Inc.</t>
  </si>
  <si>
    <t>QC-019323</t>
  </si>
  <si>
    <t>Béton sur Mesure</t>
  </si>
  <si>
    <t>CN-01073</t>
  </si>
  <si>
    <t>Médialliance</t>
  </si>
  <si>
    <t>QC-019437</t>
  </si>
  <si>
    <t>Corporation Événements et spectacles de Québec</t>
  </si>
  <si>
    <t>QC-019436</t>
  </si>
  <si>
    <t>QC-019435</t>
  </si>
  <si>
    <t>QC-019433</t>
  </si>
  <si>
    <t>QC-019432</t>
  </si>
  <si>
    <t>Carosserie F2J</t>
  </si>
  <si>
    <t>QC-019431</t>
  </si>
  <si>
    <t>QC-019430</t>
  </si>
  <si>
    <t>QC-019425</t>
  </si>
  <si>
    <t>QC-019421</t>
  </si>
  <si>
    <t>QC-019420</t>
  </si>
  <si>
    <t>Garaga</t>
  </si>
  <si>
    <t>QC-019419</t>
  </si>
  <si>
    <t>QC-019414</t>
  </si>
  <si>
    <t>QC-019473</t>
  </si>
  <si>
    <t>Construction Citadelle</t>
  </si>
  <si>
    <t>QC-019489</t>
  </si>
  <si>
    <t>Groupe Lou-Tec</t>
  </si>
  <si>
    <t>QC-019452</t>
  </si>
  <si>
    <t>Pavage JL Roy</t>
  </si>
  <si>
    <t>QC-019487</t>
  </si>
  <si>
    <t>QC-019467</t>
  </si>
  <si>
    <t>QC-019464</t>
  </si>
  <si>
    <t>Studio SFX</t>
  </si>
  <si>
    <t>QC-019480</t>
  </si>
  <si>
    <t>Ville de Québec- Services des relations citoyennes et des communications</t>
  </si>
  <si>
    <t>QC-019456</t>
  </si>
  <si>
    <t>CN-01092</t>
  </si>
  <si>
    <t>QC-019646</t>
  </si>
  <si>
    <t>QC-019645</t>
  </si>
  <si>
    <t>QC-019642</t>
  </si>
  <si>
    <t>QC-019639</t>
  </si>
  <si>
    <t>QC-019638</t>
  </si>
  <si>
    <t>QC-019637</t>
  </si>
  <si>
    <t>QC-019636</t>
  </si>
  <si>
    <t>QC-019635</t>
  </si>
  <si>
    <t>QC-019634</t>
  </si>
  <si>
    <t>QC-019632</t>
  </si>
  <si>
    <t>Lévesque Électroménagers</t>
  </si>
  <si>
    <t>QC-019631</t>
  </si>
  <si>
    <t>QC-019630</t>
  </si>
  <si>
    <t>QC-019629</t>
  </si>
  <si>
    <t>L'Agence Hypothécaire</t>
  </si>
  <si>
    <t>QC-019628</t>
  </si>
  <si>
    <t>QC-019627</t>
  </si>
  <si>
    <t>QC-019624</t>
  </si>
  <si>
    <t>QC-019620</t>
  </si>
  <si>
    <t>QC-019619</t>
  </si>
  <si>
    <t>QC-019614</t>
  </si>
  <si>
    <t>QC-019610</t>
  </si>
  <si>
    <t>QC-019608</t>
  </si>
  <si>
    <t>QC-019605</t>
  </si>
  <si>
    <t>QC-019526</t>
  </si>
  <si>
    <t>Immeuble 2875 Laurier Inc.</t>
  </si>
  <si>
    <t>QC-019521</t>
  </si>
  <si>
    <t>QC-019519</t>
  </si>
  <si>
    <t>Ville de Lévis</t>
  </si>
  <si>
    <t>QC-019518</t>
  </si>
  <si>
    <t>QC-019511</t>
  </si>
  <si>
    <t>QC-019510</t>
  </si>
  <si>
    <t>Patricia et son équipe</t>
  </si>
  <si>
    <t>QC-019509</t>
  </si>
  <si>
    <t>QC-019506</t>
  </si>
  <si>
    <t>Excavation A.Renaud</t>
  </si>
  <si>
    <t>QC-019500</t>
  </si>
  <si>
    <t>QC-019499</t>
  </si>
  <si>
    <t>QC-019493</t>
  </si>
  <si>
    <t>QC-019491</t>
  </si>
  <si>
    <t>Perry Wong et Andrew Masson-Wong Century 21 Premier choix</t>
  </si>
  <si>
    <t>QC-019490</t>
  </si>
  <si>
    <t>TOTAL(AVANTTAXES)</t>
  </si>
  <si>
    <t>QC-020033</t>
  </si>
  <si>
    <t>QC-020032</t>
  </si>
  <si>
    <t>QC-020028</t>
  </si>
  <si>
    <t>QC-020027</t>
  </si>
  <si>
    <t>QC-020026</t>
  </si>
  <si>
    <t>QC-020025</t>
  </si>
  <si>
    <t>QC-020024</t>
  </si>
  <si>
    <t>QC-020023</t>
  </si>
  <si>
    <t>QC-020022</t>
  </si>
  <si>
    <t>QC-020021</t>
  </si>
  <si>
    <t>QC-020020</t>
  </si>
  <si>
    <t>QC-020017</t>
  </si>
  <si>
    <t>QC-020016</t>
  </si>
  <si>
    <t>QC-020015</t>
  </si>
  <si>
    <t>QC-020014</t>
  </si>
  <si>
    <t>QC-020013</t>
  </si>
  <si>
    <t>QC-020009</t>
  </si>
  <si>
    <t>QC-020007</t>
  </si>
  <si>
    <t>Clinique Laser Épilation Inc.</t>
  </si>
  <si>
    <t>QC-020004</t>
  </si>
  <si>
    <t>QC-019999</t>
  </si>
  <si>
    <t>QC-019998</t>
  </si>
  <si>
    <t>QC-019997</t>
  </si>
  <si>
    <t>QC-019994</t>
  </si>
  <si>
    <t>QC-019909</t>
  </si>
  <si>
    <t>QC-019899</t>
  </si>
  <si>
    <t>Contracto 2000 Portes et fenêtres Inc</t>
  </si>
  <si>
    <t>QC-019893</t>
  </si>
  <si>
    <t>QC-019885</t>
  </si>
  <si>
    <t>QC-019884</t>
  </si>
  <si>
    <t>Ville de Québec/ Service de l’interaction citoyenne</t>
  </si>
  <si>
    <t>QC-019876</t>
  </si>
  <si>
    <t>QC-019874</t>
  </si>
  <si>
    <t>QC-019873</t>
  </si>
  <si>
    <t>QC-019871</t>
  </si>
  <si>
    <t>Centre de vrac St-Jean</t>
  </si>
  <si>
    <t>QC-019870</t>
  </si>
  <si>
    <t>IMTT Québec</t>
  </si>
  <si>
    <t>QC-019867</t>
  </si>
  <si>
    <t>QC-019850</t>
  </si>
  <si>
    <t>Ecolopeintres</t>
  </si>
  <si>
    <t>QC-019847</t>
  </si>
  <si>
    <t>Prostationnement Franchiseur</t>
  </si>
  <si>
    <t>QC-019846</t>
  </si>
  <si>
    <t>UQAM</t>
  </si>
  <si>
    <t>QC-019844</t>
  </si>
  <si>
    <t>QC-019841</t>
  </si>
  <si>
    <t>QC-019823</t>
  </si>
  <si>
    <t>QC-019819</t>
  </si>
  <si>
    <t>Groupe Domus Toiture</t>
  </si>
  <si>
    <t>QC-019805</t>
  </si>
  <si>
    <t>CLS Consultation</t>
  </si>
  <si>
    <t>QC-019802</t>
  </si>
  <si>
    <t>Biotero</t>
  </si>
  <si>
    <t>QC-019799</t>
  </si>
  <si>
    <t>LPA Médical et Confortmédic</t>
  </si>
  <si>
    <t>QC-019797</t>
  </si>
  <si>
    <t>Toiture Blanchet &amp; Carbonneau</t>
  </si>
  <si>
    <t>QC-019793</t>
  </si>
  <si>
    <t>TOITURE PRO QUÉBEC</t>
  </si>
  <si>
    <t>QC-019792</t>
  </si>
  <si>
    <t>Axia hypothèque inc</t>
  </si>
  <si>
    <t>QC-019789</t>
  </si>
  <si>
    <t>QC-019788</t>
  </si>
  <si>
    <t>QC-019787</t>
  </si>
  <si>
    <t>QC-019785</t>
  </si>
  <si>
    <t>PRP-Peinture Résidentielle et Patrimoniale</t>
  </si>
  <si>
    <t>QC-019782</t>
  </si>
  <si>
    <t>Aqua fibre innovation</t>
  </si>
  <si>
    <t>QC-019781</t>
  </si>
  <si>
    <t>Joël Lightbound, député de Louis-Hébert</t>
  </si>
  <si>
    <t>QC-019780</t>
  </si>
  <si>
    <t>QC-019779</t>
  </si>
  <si>
    <t>Acier fortin</t>
  </si>
  <si>
    <t>QC-019776</t>
  </si>
  <si>
    <t>QC-019775</t>
  </si>
  <si>
    <t>Léger</t>
  </si>
  <si>
    <t>QC-019774</t>
  </si>
  <si>
    <t>QC-019773</t>
  </si>
  <si>
    <t>QC-019772</t>
  </si>
  <si>
    <t>QC-019771</t>
  </si>
  <si>
    <t>Construction summit</t>
  </si>
  <si>
    <t>QC-019768</t>
  </si>
  <si>
    <t>QC-019762</t>
  </si>
  <si>
    <t>QC-019755</t>
  </si>
  <si>
    <t>QC-019754</t>
  </si>
  <si>
    <t>QC-019746</t>
  </si>
  <si>
    <t>QC-019743</t>
  </si>
  <si>
    <t>Portes d'acier Le Gardeur Inc.</t>
  </si>
  <si>
    <t>QC-019742</t>
  </si>
  <si>
    <t>Pierre Gosselin Jointoyeur</t>
  </si>
  <si>
    <t>QC-019740</t>
  </si>
  <si>
    <t>Contracto 3000 portes et fenêtres inc</t>
  </si>
  <si>
    <t>QC-019739</t>
  </si>
  <si>
    <t>Toiture Nordet inc</t>
  </si>
  <si>
    <t>QC-019737</t>
  </si>
  <si>
    <t>Toiture Pro Concept</t>
  </si>
  <si>
    <t>QC-019734</t>
  </si>
  <si>
    <t>QC-019730</t>
  </si>
  <si>
    <t>Services Apollo Inc</t>
  </si>
  <si>
    <t>QC-019723</t>
  </si>
  <si>
    <t>QC-019718</t>
  </si>
  <si>
    <t>QC-019715</t>
  </si>
  <si>
    <t>QC-019713</t>
  </si>
  <si>
    <t>HD Santé Auditive</t>
  </si>
  <si>
    <t>QC-019711</t>
  </si>
  <si>
    <t>QC-019710</t>
  </si>
  <si>
    <t>Peinture Antony Soucy</t>
  </si>
  <si>
    <t>QC-019709</t>
  </si>
  <si>
    <t>SEC Vaudreuil</t>
  </si>
  <si>
    <t>QC-019707</t>
  </si>
  <si>
    <t>SEC St-Hyacinthe</t>
  </si>
  <si>
    <t>QC-019703</t>
  </si>
  <si>
    <t>QC-019692</t>
  </si>
  <si>
    <t>QC-019682</t>
  </si>
  <si>
    <t>QC-019680</t>
  </si>
  <si>
    <t>STT du CIUSSS-CN (CSN)</t>
  </si>
  <si>
    <t>QC-019668</t>
  </si>
  <si>
    <t>QC-019666</t>
  </si>
  <si>
    <t>Clinique Dentaire Beaulieu, Lapointe &amp; Ass</t>
  </si>
  <si>
    <t>QC-019664</t>
  </si>
  <si>
    <t>QC-019660</t>
  </si>
  <si>
    <t>QC-019659</t>
  </si>
  <si>
    <t>Boteco Services Paysagers INC</t>
  </si>
  <si>
    <t>QC-019657</t>
  </si>
  <si>
    <t>QC-019651</t>
  </si>
  <si>
    <t>Peinture Magog &amp; Orford</t>
  </si>
  <si>
    <t>QC-019649</t>
  </si>
  <si>
    <t>QC-019648</t>
  </si>
  <si>
    <t>UQAR</t>
  </si>
  <si>
    <t>QC-019647</t>
  </si>
  <si>
    <t>QC-019539</t>
  </si>
  <si>
    <t>Centre de prévention du suicide de Charlevoix</t>
  </si>
  <si>
    <t>QC-019537</t>
  </si>
  <si>
    <t>QC-019533</t>
  </si>
  <si>
    <t>CN-01113</t>
  </si>
  <si>
    <t>CN-01112</t>
  </si>
  <si>
    <t>CN-01104</t>
  </si>
  <si>
    <t>CN-01103</t>
  </si>
  <si>
    <t>CN-01102</t>
  </si>
  <si>
    <t>QC-019990</t>
  </si>
  <si>
    <t>QC-019981</t>
  </si>
  <si>
    <t>QC-019983</t>
  </si>
  <si>
    <t>QC-020043</t>
  </si>
  <si>
    <t>QC-020040</t>
  </si>
  <si>
    <t>QC-020052</t>
  </si>
  <si>
    <t>QC-020049</t>
  </si>
  <si>
    <t>QC-020042</t>
  </si>
  <si>
    <t>Macno Construction et rénovation</t>
  </si>
  <si>
    <t>QC-020038</t>
  </si>
  <si>
    <t>QC-020037</t>
  </si>
  <si>
    <t>QC-020036</t>
  </si>
  <si>
    <t>QC-020035</t>
  </si>
  <si>
    <t>QC-020063</t>
  </si>
  <si>
    <t>Peintres ULAVAL</t>
  </si>
  <si>
    <t>QC-020086</t>
  </si>
  <si>
    <t>Spas de la capitale</t>
  </si>
  <si>
    <t>QC-020085</t>
  </si>
  <si>
    <t>QC-020116</t>
  </si>
  <si>
    <t>C.Lessard Construction</t>
  </si>
  <si>
    <t>QC-020110</t>
  </si>
  <si>
    <t>QC-020105</t>
  </si>
  <si>
    <t>Centre de calibration de la Capitale</t>
  </si>
  <si>
    <t>QC-020135</t>
  </si>
  <si>
    <t>QC-020132</t>
  </si>
  <si>
    <t>QC-020144</t>
  </si>
  <si>
    <t>QC-020138</t>
  </si>
  <si>
    <t>Peinture Veillette</t>
  </si>
  <si>
    <t>QC-020088</t>
  </si>
  <si>
    <t>Sherwin williams 768725 Sherbrooke</t>
  </si>
  <si>
    <t>QC-020089</t>
  </si>
  <si>
    <t>Écoclim Inc.</t>
  </si>
  <si>
    <t>QC-020224</t>
  </si>
  <si>
    <t>QC-020223</t>
  </si>
  <si>
    <t>QC-020222</t>
  </si>
  <si>
    <t>QC-020221</t>
  </si>
  <si>
    <t>QC-020211</t>
  </si>
  <si>
    <t>QC-020209</t>
  </si>
  <si>
    <t>Expert Sécurité Maritime</t>
  </si>
  <si>
    <t>QC-020207</t>
  </si>
  <si>
    <t>Interconnexions LD</t>
  </si>
  <si>
    <t>QC-020201</t>
  </si>
  <si>
    <t>Zenwood Héritage</t>
  </si>
  <si>
    <t>QC-020193</t>
  </si>
  <si>
    <t>Jean Yves Duclos Député Fédéral</t>
  </si>
  <si>
    <t>QC-020183</t>
  </si>
  <si>
    <t>QC-020180</t>
  </si>
  <si>
    <t>Manulift</t>
  </si>
  <si>
    <t>QC-020166</t>
  </si>
  <si>
    <t>QC-020165</t>
  </si>
  <si>
    <t>QC-020162</t>
  </si>
  <si>
    <t>Portes et fenêtre Juva Inc</t>
  </si>
  <si>
    <t>QC-020161</t>
  </si>
  <si>
    <t>Vitrerie Lionel</t>
  </si>
  <si>
    <t>QC-020160</t>
  </si>
  <si>
    <t>QC-020157</t>
  </si>
  <si>
    <t>QC-020156</t>
  </si>
  <si>
    <t>QC-020154</t>
  </si>
  <si>
    <t>QC-020153</t>
  </si>
  <si>
    <t>Biotero Lévis/Beauce</t>
  </si>
  <si>
    <t>QC-020152</t>
  </si>
  <si>
    <t>CN-01180</t>
  </si>
  <si>
    <t>L2 Toitures</t>
  </si>
  <si>
    <t>QC-020290</t>
  </si>
  <si>
    <t>Solution Cannabis Médical</t>
  </si>
  <si>
    <t>QC-020289</t>
  </si>
  <si>
    <t>Agence La Boîte</t>
  </si>
  <si>
    <t>QC-020287</t>
  </si>
  <si>
    <t>Pré-vert</t>
  </si>
  <si>
    <t>QC-020286</t>
  </si>
  <si>
    <t>QC-020282</t>
  </si>
  <si>
    <t>QC-020278</t>
  </si>
  <si>
    <t>Gentec-EO</t>
  </si>
  <si>
    <t>QC-020272</t>
  </si>
  <si>
    <t>QC-020270</t>
  </si>
  <si>
    <t>QC-020267</t>
  </si>
  <si>
    <t>QC-020265</t>
  </si>
  <si>
    <t>QC-020261</t>
  </si>
  <si>
    <t>QC-020259</t>
  </si>
  <si>
    <t>QC-020257</t>
  </si>
  <si>
    <t>QC-020251</t>
  </si>
  <si>
    <t>QC-020249</t>
  </si>
  <si>
    <t>QC-020241</t>
  </si>
  <si>
    <t>Viva Sgobba</t>
  </si>
  <si>
    <t>QC-020236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</si>
</sst>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[$$]"/>
    <numFmt numFmtId="165" formatCode="_-* #,##0.00\ &quot;$&quot;_-;\-* #,##0.00\ &quot;$&quot;_-;_-* &quot;-&quot;??\ &quot;$&quot;_-;_-@"/>
    <numFmt numFmtId="166" formatCode="[$$]#,##0.00"/>
    <numFmt numFmtId="167" formatCode="d mmmm yyyy"/>
    <numFmt numFmtId="168" formatCode="d mmmm"/>
    <numFmt numFmtId="169" formatCode="dd/MM/yyyy"/>
    <numFmt numFmtId="170" formatCode="&quot;$&quot;#,##0.00"/>
    <numFmt numFmtId="171" formatCode="yyyy-mm-dd"/>
    <numFmt numFmtId="172" formatCode="dd-mm-yy"/>
  </numFmts>
  <fonts count="15">
    <font>
      <sz val="11.0"/>
      <color rgb="FF000000"/>
      <name val="Calibri"/>
    </font>
    <font>
      <b/>
      <sz val="11.0"/>
      <name val="Calibri"/>
    </font>
    <font/>
    <font>
      <sz val="11.0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2.0"/>
      <color rgb="FF000000"/>
      <name val="Calibri"/>
    </font>
    <font>
      <b/>
      <sz val="11.0"/>
      <color rgb="FF000000"/>
      <name val="Arial"/>
    </font>
    <font>
      <sz val="12.0"/>
      <name val="Calibri"/>
    </font>
    <font>
      <b/>
      <sz val="13.0"/>
      <color rgb="FF000000"/>
      <name val="Calibri"/>
    </font>
    <font>
      <b/>
      <sz val="13.0"/>
      <name val="Calibri"/>
    </font>
    <font>
      <sz val="11.0"/>
    </font>
    <font>
      <b/>
      <sz val="13.0"/>
      <color rgb="FFFF0000"/>
      <name val="Calibri"/>
    </font>
    <font>
      <b/>
      <sz val="18.0"/>
      <name val="Calibri"/>
    </font>
    <font>
      <b/>
      <sz val="14.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6" fillId="2" fontId="6" numFmtId="0" xfId="0" applyAlignment="1" applyBorder="1" applyFon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" fillId="3" fontId="0" numFmtId="16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/>
    </xf>
    <xf borderId="5" fillId="0" fontId="3" numFmtId="10" xfId="0" applyAlignment="1" applyBorder="1" applyFont="1" applyNumberForma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3" numFmtId="2" xfId="0" applyAlignment="1" applyBorder="1" applyFont="1" applyNumberFormat="1">
      <alignment horizontal="center"/>
    </xf>
    <xf borderId="10" fillId="0" fontId="3" numFmtId="10" xfId="0" applyAlignment="1" applyBorder="1" applyFont="1" applyNumberFormat="1">
      <alignment horizontal="center" vertical="bottom"/>
    </xf>
    <xf borderId="0" fillId="0" fontId="0" numFmtId="16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6" fillId="2" fontId="6" numFmtId="0" xfId="0" applyAlignment="1" applyBorder="1" applyFont="1">
      <alignment horizontal="center" shrinkToFit="0" vertical="center" wrapText="1"/>
    </xf>
    <xf borderId="7" fillId="0" fontId="3" numFmtId="10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5" fillId="4" fontId="6" numFmtId="165" xfId="0" applyAlignment="1" applyBorder="1" applyFill="1" applyFont="1" applyNumberFormat="1">
      <alignment horizontal="center" vertical="center"/>
    </xf>
    <xf borderId="5" fillId="4" fontId="6" numFmtId="10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8" fontId="4" numFmtId="0" xfId="0" applyAlignment="1" applyBorder="1" applyFill="1" applyFont="1">
      <alignment horizontal="center" readingOrder="0" vertical="center"/>
    </xf>
    <xf borderId="2" fillId="9" fontId="4" numFmtId="0" xfId="0" applyAlignment="1" applyBorder="1" applyFill="1" applyFont="1">
      <alignment horizontal="center" readingOrder="0" vertical="center"/>
    </xf>
    <xf borderId="2" fillId="10" fontId="4" numFmtId="0" xfId="0" applyAlignment="1" applyBorder="1" applyFill="1" applyFont="1">
      <alignment horizontal="center" readingOrder="0" vertical="center"/>
    </xf>
    <xf borderId="11" fillId="3" fontId="7" numFmtId="0" xfId="0" applyAlignment="1" applyBorder="1" applyFont="1">
      <alignment horizontal="center" vertical="center"/>
    </xf>
    <xf borderId="11" fillId="3" fontId="0" numFmtId="16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/>
    </xf>
    <xf borderId="11" fillId="3" fontId="6" numFmtId="0" xfId="0" applyAlignment="1" applyBorder="1" applyFon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4" fontId="6" numFmtId="10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9" fillId="0" fontId="9" numFmtId="165" xfId="0" applyAlignment="1" applyBorder="1" applyFont="1" applyNumberFormat="1">
      <alignment horizontal="center" shrinkToFit="0" vertical="center" wrapText="1"/>
    </xf>
    <xf borderId="9" fillId="4" fontId="10" numFmtId="165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0" fillId="0" fontId="0" numFmtId="0" xfId="0" applyAlignment="1" applyBorder="1" applyFont="1">
      <alignment horizontal="center"/>
    </xf>
    <xf borderId="4" fillId="0" fontId="0" numFmtId="166" xfId="0" applyAlignment="1" applyBorder="1" applyFont="1" applyNumberFormat="1">
      <alignment horizontal="center"/>
    </xf>
    <xf borderId="4" fillId="0" fontId="0" numFmtId="0" xfId="0" applyAlignment="1" applyBorder="1" applyFont="1">
      <alignment horizontal="center"/>
    </xf>
    <xf borderId="10" fillId="0" fontId="0" numFmtId="167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 readingOrder="0" vertical="center"/>
    </xf>
    <xf borderId="4" fillId="0" fontId="0" numFmtId="166" xfId="0" applyAlignment="1" applyBorder="1" applyFont="1" applyNumberFormat="1">
      <alignment horizontal="center" readingOrder="0" vertical="center"/>
    </xf>
    <xf borderId="4" fillId="0" fontId="0" numFmtId="166" xfId="0" applyAlignment="1" applyBorder="1" applyFont="1" applyNumberFormat="1">
      <alignment horizontal="center" vertical="center"/>
    </xf>
    <xf borderId="4" fillId="0" fontId="3" numFmtId="168" xfId="0" applyAlignment="1" applyBorder="1" applyFont="1" applyNumberFormat="1">
      <alignment horizontal="center" vertical="center"/>
    </xf>
    <xf borderId="6" fillId="4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0" fillId="0" fontId="11" numFmtId="0" xfId="0" applyFont="1"/>
    <xf borderId="4" fillId="0" fontId="3" numFmtId="0" xfId="0" applyAlignment="1" applyBorder="1" applyFont="1">
      <alignment horizontal="center" vertical="center"/>
    </xf>
    <xf borderId="10" fillId="0" fontId="0" numFmtId="167" xfId="0" applyAlignment="1" applyBorder="1" applyFont="1" applyNumberFormat="1">
      <alignment horizontal="center" readingOrder="0"/>
    </xf>
    <xf borderId="0" fillId="0" fontId="10" numFmtId="166" xfId="0" applyAlignment="1" applyFont="1" applyNumberFormat="1">
      <alignment horizontal="center" vertical="center"/>
    </xf>
    <xf borderId="12" fillId="0" fontId="10" numFmtId="166" xfId="0" applyAlignment="1" applyBorder="1" applyFont="1" applyNumberFormat="1">
      <alignment horizontal="center" vertical="center"/>
    </xf>
    <xf borderId="13" fillId="0" fontId="9" numFmtId="166" xfId="0" applyAlignment="1" applyBorder="1" applyFont="1" applyNumberFormat="1">
      <alignment horizontal="center" shrinkToFit="0" wrapText="1"/>
    </xf>
    <xf borderId="0" fillId="0" fontId="12" numFmtId="164" xfId="0" applyAlignment="1" applyFont="1" applyNumberFormat="1">
      <alignment horizontal="center" shrinkToFit="0" vertical="center" wrapText="1"/>
    </xf>
    <xf borderId="13" fillId="0" fontId="2" numFmtId="0" xfId="0" applyBorder="1" applyFont="1"/>
    <xf borderId="13" fillId="0" fontId="9" numFmtId="166" xfId="0" applyAlignment="1" applyBorder="1" applyFont="1" applyNumberForma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10" fillId="0" fontId="0" numFmtId="167" xfId="0" applyAlignment="1" applyBorder="1" applyFont="1" applyNumberFormat="1">
      <alignment horizontal="center" readingOrder="0" vertical="center"/>
    </xf>
    <xf borderId="12" fillId="0" fontId="3" numFmtId="166" xfId="0" applyAlignment="1" applyBorder="1" applyFont="1" applyNumberFormat="1">
      <alignment horizontal="center" vertical="center"/>
    </xf>
    <xf borderId="12" fillId="2" fontId="3" numFmtId="166" xfId="0" applyAlignment="1" applyBorder="1" applyFont="1" applyNumberFormat="1">
      <alignment horizontal="center" vertical="center"/>
    </xf>
    <xf borderId="4" fillId="7" fontId="1" numFmtId="166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0" fillId="0" fontId="0" numFmtId="0" xfId="0" applyAlignment="1" applyBorder="1" applyFont="1">
      <alignment horizontal="center" vertical="center"/>
    </xf>
    <xf borderId="10" fillId="0" fontId="3" numFmtId="15" xfId="0" applyAlignment="1" applyBorder="1" applyFont="1" applyNumberFormat="1">
      <alignment horizontal="center" vertical="center"/>
    </xf>
    <xf borderId="4" fillId="0" fontId="3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0" fillId="10" fontId="1" numFmtId="0" xfId="0" applyAlignment="1" applyFon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5" fontId="14" numFmtId="164" xfId="0" applyAlignment="1" applyFont="1" applyNumberFormat="1">
      <alignment horizontal="center" vertical="center"/>
    </xf>
    <xf borderId="0" fillId="6" fontId="14" numFmtId="164" xfId="0" applyAlignment="1" applyFont="1" applyNumberFormat="1">
      <alignment horizontal="center" vertical="center"/>
    </xf>
    <xf borderId="0" fillId="7" fontId="14" numFmtId="164" xfId="0" applyAlignment="1" applyFont="1" applyNumberFormat="1">
      <alignment horizontal="center" vertical="center"/>
    </xf>
    <xf borderId="0" fillId="8" fontId="14" numFmtId="164" xfId="0" applyAlignment="1" applyFont="1" applyNumberFormat="1">
      <alignment horizontal="center" vertical="center"/>
    </xf>
    <xf borderId="0" fillId="9" fontId="14" numFmtId="164" xfId="0" applyAlignment="1" applyFont="1" applyNumberFormat="1">
      <alignment horizontal="center" vertical="center"/>
    </xf>
    <xf borderId="0" fillId="10" fontId="14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readingOrder="0" shrinkToFit="0" vertical="bottom" wrapText="0"/>
    </xf>
    <xf borderId="0" fillId="0" fontId="0" numFmtId="166" xfId="0" applyAlignment="1" applyFont="1" applyNumberFormat="1">
      <alignment horizontal="center" readingOrder="0" shrinkToFit="0" vertical="bottom" wrapText="0"/>
    </xf>
    <xf borderId="0" fillId="0" fontId="0" numFmtId="3" xfId="0" applyAlignment="1" applyFont="1" applyNumberFormat="1">
      <alignment horizontal="center" readingOrder="0" shrinkToFit="0" vertical="bottom" wrapText="0"/>
    </xf>
    <xf borderId="0" fillId="0" fontId="0" numFmtId="169" xfId="0" applyAlignment="1" applyFont="1" applyNumberFormat="1">
      <alignment horizontal="center" readingOrder="0" shrinkToFit="0" vertical="bottom" wrapText="0"/>
    </xf>
    <xf borderId="0" fillId="0" fontId="0" numFmtId="170" xfId="0" applyAlignment="1" applyFont="1" applyNumberFormat="1">
      <alignment horizontal="center" readingOrder="0" shrinkToFit="0" vertical="bottom" wrapText="0"/>
    </xf>
    <xf borderId="0" fillId="0" fontId="3" numFmtId="170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164" xfId="0" applyFont="1" applyNumberFormat="1"/>
    <xf borderId="0" fillId="0" fontId="1" numFmtId="49" xfId="0" applyAlignment="1" applyFont="1" applyNumberFormat="1">
      <alignment horizontal="center" readingOrder="0" vertical="center"/>
    </xf>
    <xf borderId="0" fillId="0" fontId="0" numFmtId="171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vertical="center"/>
    </xf>
    <xf borderId="0" fillId="0" fontId="3" numFmtId="169" xfId="0" applyAlignment="1" applyFont="1" applyNumberFormat="1">
      <alignment horizontal="center" readingOrder="0" vertical="center"/>
    </xf>
    <xf borderId="0" fillId="0" fontId="3" numFmtId="170" xfId="0" applyAlignment="1" applyFont="1" applyNumberFormat="1">
      <alignment horizontal="center" readingOrder="0" vertical="center"/>
    </xf>
    <xf borderId="0" fillId="0" fontId="3" numFmtId="172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71" xfId="0" applyAlignment="1" applyFont="1" applyNumberFormat="1">
      <alignment horizontal="center" shrinkToFit="0" vertical="center" wrapText="1"/>
    </xf>
    <xf borderId="0" fillId="0" fontId="3" numFmtId="171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3" width="16.4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3"/>
      <c r="C2" s="6" t="s">
        <v>1</v>
      </c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7" t="s">
        <v>2</v>
      </c>
      <c r="B3" s="3"/>
      <c r="C3" s="8">
        <v>2025.0</v>
      </c>
      <c r="D3" s="8">
        <v>2026.0</v>
      </c>
      <c r="E3" s="9"/>
      <c r="F3" s="10" t="s">
        <v>3</v>
      </c>
      <c r="G3" s="10" t="s">
        <v>4</v>
      </c>
      <c r="H3" s="11"/>
      <c r="I3" s="4"/>
      <c r="J3" s="4"/>
      <c r="K3" s="12" t="s">
        <v>5</v>
      </c>
      <c r="L3" s="13">
        <f>D16</f>
        <v>473587.72</v>
      </c>
      <c r="M3" s="14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6" t="s">
        <v>6</v>
      </c>
      <c r="B4" s="3"/>
      <c r="C4" s="17">
        <f t="shared" ref="C4:C15" si="1">C21+G21+K21+O21+S21+W21</f>
        <v>46995.62</v>
      </c>
      <c r="D4" s="17">
        <f>Janvier!B4</f>
        <v>71910.34</v>
      </c>
      <c r="E4" s="18"/>
      <c r="F4" s="18">
        <f t="shared" ref="F4:F15" si="2">E21+I21+M21+Q21+U21+Y21</f>
        <v>66000</v>
      </c>
      <c r="G4" s="19">
        <f t="shared" ref="G4:G16" si="3">D4/F4</f>
        <v>1.089550606</v>
      </c>
      <c r="H4" s="4"/>
      <c r="I4" s="4"/>
      <c r="J4" s="4"/>
      <c r="K4" s="20"/>
      <c r="L4" s="21"/>
      <c r="M4" s="22"/>
      <c r="N4" s="2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24"/>
      <c r="AF4" s="25"/>
      <c r="AG4" s="4"/>
    </row>
    <row r="5">
      <c r="A5" s="16" t="s">
        <v>7</v>
      </c>
      <c r="B5" s="3"/>
      <c r="C5" s="17">
        <f t="shared" si="1"/>
        <v>97596.8</v>
      </c>
      <c r="D5" s="17">
        <f>'Février'!B4</f>
        <v>133750.99</v>
      </c>
      <c r="E5" s="26"/>
      <c r="F5" s="18">
        <f t="shared" si="2"/>
        <v>113000</v>
      </c>
      <c r="G5" s="27">
        <f t="shared" si="3"/>
        <v>1.18363708</v>
      </c>
      <c r="H5" s="4"/>
      <c r="I5" s="4"/>
      <c r="J5" s="4"/>
      <c r="K5" s="12" t="s">
        <v>8</v>
      </c>
      <c r="L5" s="13">
        <f>E33+I33+M33+Q33+U33+Y33</f>
        <v>1450000</v>
      </c>
      <c r="M5" s="14"/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8"/>
      <c r="AF5" s="29"/>
      <c r="AG5" s="4"/>
    </row>
    <row r="6">
      <c r="A6" s="16" t="s">
        <v>9</v>
      </c>
      <c r="B6" s="3"/>
      <c r="C6" s="17">
        <f t="shared" si="1"/>
        <v>134397.27</v>
      </c>
      <c r="D6" s="17">
        <f>Mars!B4</f>
        <v>154899.78</v>
      </c>
      <c r="E6" s="26"/>
      <c r="F6" s="18">
        <f t="shared" si="2"/>
        <v>151600</v>
      </c>
      <c r="G6" s="27">
        <f t="shared" si="3"/>
        <v>1.021766359</v>
      </c>
      <c r="H6" s="4"/>
      <c r="I6" s="4"/>
      <c r="J6" s="4"/>
      <c r="K6" s="20"/>
      <c r="L6" s="21"/>
      <c r="M6" s="22"/>
      <c r="N6" s="2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28"/>
      <c r="AF6" s="29"/>
      <c r="AG6" s="4"/>
    </row>
    <row r="7">
      <c r="A7" s="16" t="s">
        <v>10</v>
      </c>
      <c r="B7" s="3"/>
      <c r="C7" s="17">
        <f t="shared" si="1"/>
        <v>157307.3</v>
      </c>
      <c r="D7" s="17">
        <f>Avril!B4</f>
        <v>113026.61</v>
      </c>
      <c r="E7" s="26"/>
      <c r="F7" s="18">
        <f t="shared" si="2"/>
        <v>166600</v>
      </c>
      <c r="G7" s="27">
        <f t="shared" si="3"/>
        <v>0.6784310324</v>
      </c>
      <c r="H7" s="4"/>
      <c r="I7" s="4"/>
      <c r="J7" s="4"/>
      <c r="K7" s="30" t="s">
        <v>4</v>
      </c>
      <c r="L7" s="31">
        <f>L3/L5</f>
        <v>0.3266122207</v>
      </c>
      <c r="M7" s="14"/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8"/>
      <c r="AF7" s="29"/>
      <c r="AG7" s="4"/>
    </row>
    <row r="8">
      <c r="A8" s="16" t="s">
        <v>11</v>
      </c>
      <c r="B8" s="3"/>
      <c r="C8" s="17">
        <f t="shared" si="1"/>
        <v>134565.28</v>
      </c>
      <c r="D8" s="17">
        <f>Mai!B4</f>
        <v>0</v>
      </c>
      <c r="E8" s="26"/>
      <c r="F8" s="18">
        <f t="shared" si="2"/>
        <v>151600</v>
      </c>
      <c r="G8" s="27">
        <f t="shared" si="3"/>
        <v>0</v>
      </c>
      <c r="H8" s="4"/>
      <c r="I8" s="4"/>
      <c r="J8" s="4"/>
      <c r="K8" s="20"/>
      <c r="L8" s="21"/>
      <c r="M8" s="22"/>
      <c r="N8" s="2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28"/>
      <c r="AF8" s="29"/>
      <c r="AG8" s="4"/>
    </row>
    <row r="9">
      <c r="A9" s="16" t="s">
        <v>12</v>
      </c>
      <c r="B9" s="3"/>
      <c r="C9" s="17">
        <f t="shared" si="1"/>
        <v>85404.73</v>
      </c>
      <c r="D9" s="17">
        <f>Juin!B4</f>
        <v>0</v>
      </c>
      <c r="E9" s="26"/>
      <c r="F9" s="18">
        <f t="shared" si="2"/>
        <v>106600</v>
      </c>
      <c r="G9" s="27">
        <f t="shared" si="3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8"/>
      <c r="AF9" s="29"/>
      <c r="AG9" s="4"/>
    </row>
    <row r="10">
      <c r="A10" s="16" t="s">
        <v>13</v>
      </c>
      <c r="B10" s="3"/>
      <c r="C10" s="17">
        <f t="shared" si="1"/>
        <v>156058.4</v>
      </c>
      <c r="D10" s="17">
        <f>Juillet!B4</f>
        <v>0</v>
      </c>
      <c r="E10" s="26"/>
      <c r="F10" s="18">
        <f t="shared" si="2"/>
        <v>116600</v>
      </c>
      <c r="G10" s="27">
        <f t="shared" si="3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8"/>
      <c r="AF10" s="29"/>
      <c r="AG10" s="4"/>
    </row>
    <row r="11">
      <c r="A11" s="16" t="s">
        <v>14</v>
      </c>
      <c r="B11" s="3"/>
      <c r="C11" s="17">
        <f t="shared" si="1"/>
        <v>90266.76</v>
      </c>
      <c r="D11" s="17">
        <f>'Août'!B4</f>
        <v>0</v>
      </c>
      <c r="E11" s="26"/>
      <c r="F11" s="18">
        <f t="shared" si="2"/>
        <v>106600</v>
      </c>
      <c r="G11" s="27">
        <f t="shared" si="3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8"/>
      <c r="AF11" s="29"/>
      <c r="AG11" s="4"/>
    </row>
    <row r="12">
      <c r="A12" s="16" t="s">
        <v>15</v>
      </c>
      <c r="B12" s="3"/>
      <c r="C12" s="17">
        <f t="shared" si="1"/>
        <v>118995.46</v>
      </c>
      <c r="D12" s="17">
        <f>Septembre!B4</f>
        <v>0</v>
      </c>
      <c r="E12" s="26"/>
      <c r="F12" s="18">
        <f t="shared" si="2"/>
        <v>141600</v>
      </c>
      <c r="G12" s="27">
        <f t="shared" si="3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28"/>
      <c r="AF12" s="29"/>
      <c r="AG12" s="4"/>
    </row>
    <row r="13">
      <c r="A13" s="16" t="s">
        <v>16</v>
      </c>
      <c r="B13" s="3"/>
      <c r="C13" s="17">
        <f t="shared" si="1"/>
        <v>430214.33</v>
      </c>
      <c r="D13" s="17">
        <f>Octobre!B4</f>
        <v>0</v>
      </c>
      <c r="E13" s="26"/>
      <c r="F13" s="18">
        <f t="shared" si="2"/>
        <v>146600</v>
      </c>
      <c r="G13" s="27">
        <f t="shared" si="3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8"/>
      <c r="AF13" s="29"/>
      <c r="AG13" s="4"/>
    </row>
    <row r="14">
      <c r="A14" s="16" t="s">
        <v>17</v>
      </c>
      <c r="B14" s="3"/>
      <c r="C14" s="17">
        <f t="shared" si="1"/>
        <v>115639.1</v>
      </c>
      <c r="D14" s="17">
        <f>Novembre!B4</f>
        <v>0</v>
      </c>
      <c r="E14" s="26"/>
      <c r="F14" s="18">
        <f t="shared" si="2"/>
        <v>110600</v>
      </c>
      <c r="G14" s="27">
        <f t="shared" si="3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28"/>
      <c r="AF14" s="29"/>
      <c r="AG14" s="4"/>
    </row>
    <row r="15">
      <c r="A15" s="16" t="s">
        <v>18</v>
      </c>
      <c r="B15" s="3"/>
      <c r="C15" s="17">
        <f t="shared" si="1"/>
        <v>69384.19</v>
      </c>
      <c r="D15" s="17">
        <f>'Décembre'!B4</f>
        <v>0</v>
      </c>
      <c r="E15" s="26"/>
      <c r="F15" s="18">
        <f t="shared" si="2"/>
        <v>72600</v>
      </c>
      <c r="G15" s="27">
        <f t="shared" si="3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8"/>
      <c r="AF15" s="29"/>
      <c r="AG15" s="4"/>
    </row>
    <row r="16">
      <c r="A16" s="32" t="s">
        <v>1</v>
      </c>
      <c r="B16" s="3"/>
      <c r="C16" s="33">
        <f t="shared" ref="C16:D16" si="4">SUM(C4:C15)</f>
        <v>1636825.24</v>
      </c>
      <c r="D16" s="33">
        <f t="shared" si="4"/>
        <v>473587.72</v>
      </c>
      <c r="E16" s="33"/>
      <c r="F16" s="33">
        <f>SUM(F4:F15)</f>
        <v>1450000</v>
      </c>
      <c r="G16" s="34">
        <f t="shared" si="3"/>
        <v>0.3266122207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28"/>
      <c r="AF16" s="29"/>
      <c r="AG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5"/>
      <c r="AF17" s="36"/>
      <c r="AG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37"/>
      <c r="B19" s="38"/>
      <c r="C19" s="39" t="s">
        <v>19</v>
      </c>
      <c r="D19" s="2"/>
      <c r="E19" s="2"/>
      <c r="F19" s="3"/>
      <c r="G19" s="40" t="s">
        <v>20</v>
      </c>
      <c r="H19" s="2"/>
      <c r="I19" s="2"/>
      <c r="J19" s="3"/>
      <c r="K19" s="41" t="s">
        <v>21</v>
      </c>
      <c r="L19" s="2"/>
      <c r="M19" s="2"/>
      <c r="N19" s="3"/>
      <c r="O19" s="42" t="s">
        <v>22</v>
      </c>
      <c r="P19" s="2"/>
      <c r="Q19" s="2"/>
      <c r="R19" s="3"/>
      <c r="S19" s="43" t="s">
        <v>23</v>
      </c>
      <c r="T19" s="2"/>
      <c r="U19" s="2"/>
      <c r="V19" s="3"/>
      <c r="W19" s="44" t="s">
        <v>24</v>
      </c>
      <c r="X19" s="2"/>
      <c r="Y19" s="2"/>
      <c r="Z19" s="3"/>
      <c r="AA19" s="4"/>
      <c r="AB19" s="4"/>
      <c r="AC19" s="4"/>
      <c r="AD19" s="4"/>
      <c r="AE19" s="4"/>
      <c r="AF19" s="4"/>
      <c r="AG19" s="4"/>
    </row>
    <row r="20">
      <c r="A20" s="45" t="s">
        <v>2</v>
      </c>
      <c r="B20" s="23"/>
      <c r="C20" s="8">
        <v>2025.0</v>
      </c>
      <c r="D20" s="8">
        <v>2026.0</v>
      </c>
      <c r="E20" s="8" t="s">
        <v>3</v>
      </c>
      <c r="F20" s="9" t="s">
        <v>4</v>
      </c>
      <c r="G20" s="8">
        <v>2025.0</v>
      </c>
      <c r="H20" s="8">
        <v>2026.0</v>
      </c>
      <c r="I20" s="8" t="s">
        <v>3</v>
      </c>
      <c r="J20" s="9" t="s">
        <v>4</v>
      </c>
      <c r="K20" s="8">
        <v>2025.0</v>
      </c>
      <c r="L20" s="8">
        <v>2026.0</v>
      </c>
      <c r="M20" s="8" t="s">
        <v>3</v>
      </c>
      <c r="N20" s="9" t="s">
        <v>4</v>
      </c>
      <c r="O20" s="8">
        <v>2025.0</v>
      </c>
      <c r="P20" s="8">
        <v>2026.0</v>
      </c>
      <c r="Q20" s="8" t="s">
        <v>3</v>
      </c>
      <c r="R20" s="9" t="s">
        <v>4</v>
      </c>
      <c r="S20" s="8">
        <v>2025.0</v>
      </c>
      <c r="T20" s="8">
        <v>2026.0</v>
      </c>
      <c r="U20" s="8" t="s">
        <v>3</v>
      </c>
      <c r="V20" s="9" t="s">
        <v>4</v>
      </c>
      <c r="W20" s="8">
        <v>2025.0</v>
      </c>
      <c r="X20" s="8">
        <v>2026.0</v>
      </c>
      <c r="Y20" s="8" t="s">
        <v>3</v>
      </c>
      <c r="Z20" s="9" t="s">
        <v>4</v>
      </c>
      <c r="AA20" s="4"/>
      <c r="AB20" s="4"/>
      <c r="AC20" s="4"/>
      <c r="AD20" s="4"/>
      <c r="AE20" s="4"/>
      <c r="AF20" s="4"/>
      <c r="AG20" s="4"/>
    </row>
    <row r="21">
      <c r="A21" s="46" t="s">
        <v>6</v>
      </c>
      <c r="B21" s="23"/>
      <c r="C21" s="47">
        <f>IFERROR(__xludf.DUMMYFUNCTION("IMPORTRANGE(""https://docs.google.com/spreadsheets/d/1-ltm482s1dBBbw9MUTGac60xYPDomqoML6LZHNmZNIM/edit?gid=2000300900#gid=2000300900"",""OBJECTIF!D21:D32"")"),5345.0)</f>
        <v>5345</v>
      </c>
      <c r="D21" s="48">
        <f>Janvier!C4</f>
        <v>5785</v>
      </c>
      <c r="E21" s="49">
        <v>6000.0</v>
      </c>
      <c r="F21" s="50">
        <f t="shared" ref="F21:F33" si="5">D21/E21</f>
        <v>0.9641666667</v>
      </c>
      <c r="G21" s="47">
        <f>IFERROR(__xludf.DUMMYFUNCTION("IMPORTRANGE(""https://docs.google.com/spreadsheets/d/1-ltm482s1dBBbw9MUTGac60xYPDomqoML6LZHNmZNIM/edit?gid=2000300900#gid=2000300900"",""OBJECTIF!H21:H32"")"),25899.37)</f>
        <v>25899.37</v>
      </c>
      <c r="H21" s="48">
        <f>Janvier!D4</f>
        <v>14677.91</v>
      </c>
      <c r="I21" s="49">
        <v>30000.0</v>
      </c>
      <c r="J21" s="50">
        <f t="shared" ref="J21:J33" si="6">H21/I21</f>
        <v>0.4892636667</v>
      </c>
      <c r="K21" s="47">
        <f>IFERROR(__xludf.DUMMYFUNCTION("IMPORTRANGE(""https://docs.google.com/spreadsheets/d/1-ltm482s1dBBbw9MUTGac60xYPDomqoML6LZHNmZNIM/edit?gid=2000300900#gid=2000300900"",""OBJECTIF!L21:L32"")"),493.75)</f>
        <v>493.75</v>
      </c>
      <c r="L21" s="48">
        <f>Janvier!E4</f>
        <v>12183.18</v>
      </c>
      <c r="M21" s="49">
        <v>5000.0</v>
      </c>
      <c r="N21" s="50">
        <f t="shared" ref="N21:N33" si="7">L21/M21</f>
        <v>2.436636</v>
      </c>
      <c r="O21" s="47">
        <f>IFERROR(__xludf.DUMMYFUNCTION("IMPORTRANGE(""https://docs.google.com/spreadsheets/d/1-ltm482s1dBBbw9MUTGac60xYPDomqoML6LZHNmZNIM/edit?gid=2000300900#gid=2000300900"",""OBJECTIF!P21:P32"")"),15257.5)</f>
        <v>15257.5</v>
      </c>
      <c r="P21" s="48">
        <f>Janvier!F4</f>
        <v>38814.25</v>
      </c>
      <c r="Q21" s="49">
        <v>25000.0</v>
      </c>
      <c r="R21" s="50">
        <f t="shared" ref="R21:R33" si="8">P21/Q21</f>
        <v>1.55257</v>
      </c>
      <c r="S21" s="47">
        <f>IFERROR(__xludf.DUMMYFUNCTION("IMPORTRANGE(""https://docs.google.com/spreadsheets/d/1-ltm482s1dBBbw9MUTGac60xYPDomqoML6LZHNmZNIM/edit?gid=2000300900#gid=2000300900"",""OBJECTIF!T21:T32"")"),0.0)</f>
        <v>0</v>
      </c>
      <c r="T21" s="48">
        <f>Janvier!G4</f>
        <v>450</v>
      </c>
      <c r="U21" s="48"/>
      <c r="V21" s="50" t="str">
        <f t="shared" ref="V21:V33" si="9">T21/U21</f>
        <v>#DIV/0!</v>
      </c>
      <c r="W21" s="47"/>
      <c r="X21" s="48" t="str">
        <f>Janvier!K4</f>
        <v/>
      </c>
      <c r="Y21" s="51">
        <v>0.0</v>
      </c>
      <c r="Z21" s="50" t="str">
        <f t="shared" ref="Z21:Z33" si="10">X21/Y21</f>
        <v>#DIV/0!</v>
      </c>
      <c r="AA21" s="4"/>
      <c r="AB21" s="4"/>
      <c r="AC21" s="4"/>
      <c r="AD21" s="4"/>
      <c r="AE21" s="4"/>
      <c r="AF21" s="4"/>
      <c r="AG21" s="4"/>
    </row>
    <row r="22">
      <c r="A22" s="46" t="s">
        <v>7</v>
      </c>
      <c r="B22" s="23"/>
      <c r="C22" s="48">
        <f>IFERROR(__xludf.DUMMYFUNCTION("""COMPUTED_VALUE"""),4945.0)</f>
        <v>4945</v>
      </c>
      <c r="D22" s="48">
        <f>'Février'!C4</f>
        <v>3585</v>
      </c>
      <c r="E22" s="49">
        <v>6000.0</v>
      </c>
      <c r="F22" s="50">
        <f t="shared" si="5"/>
        <v>0.5975</v>
      </c>
      <c r="G22" s="48">
        <f>IFERROR(__xludf.DUMMYFUNCTION("""COMPUTED_VALUE"""),64439.36000000001)</f>
        <v>64439.36</v>
      </c>
      <c r="H22" s="48">
        <f>'Février'!D4</f>
        <v>38970.1</v>
      </c>
      <c r="I22" s="49">
        <v>70000.0</v>
      </c>
      <c r="J22" s="50">
        <f t="shared" si="6"/>
        <v>0.5567157143</v>
      </c>
      <c r="K22" s="48">
        <f>IFERROR(__xludf.DUMMYFUNCTION("""COMPUTED_VALUE"""),5383.76)</f>
        <v>5383.76</v>
      </c>
      <c r="L22" s="48">
        <f>'Février'!E4</f>
        <v>65370.64</v>
      </c>
      <c r="M22" s="49">
        <v>12000.0</v>
      </c>
      <c r="N22" s="50">
        <f t="shared" si="7"/>
        <v>5.447553333</v>
      </c>
      <c r="O22" s="48">
        <f>IFERROR(__xludf.DUMMYFUNCTION("""COMPUTED_VALUE"""),22828.68)</f>
        <v>22828.68</v>
      </c>
      <c r="P22" s="48">
        <f>'Février'!F4</f>
        <v>25825.25</v>
      </c>
      <c r="Q22" s="49">
        <v>25000.0</v>
      </c>
      <c r="R22" s="50">
        <f t="shared" si="8"/>
        <v>1.03301</v>
      </c>
      <c r="S22" s="48">
        <f>IFERROR(__xludf.DUMMYFUNCTION("""COMPUTED_VALUE"""),0.0)</f>
        <v>0</v>
      </c>
      <c r="T22" s="48">
        <f>'Février'!G4</f>
        <v>0</v>
      </c>
      <c r="U22" s="48"/>
      <c r="V22" s="50" t="str">
        <f t="shared" si="9"/>
        <v>#DIV/0!</v>
      </c>
      <c r="W22" s="48"/>
      <c r="X22" s="48" t="str">
        <f>'Février'!K4</f>
        <v/>
      </c>
      <c r="Y22" s="51">
        <v>0.0</v>
      </c>
      <c r="Z22" s="50" t="str">
        <f t="shared" si="10"/>
        <v>#DIV/0!</v>
      </c>
      <c r="AA22" s="4"/>
      <c r="AB22" s="4"/>
      <c r="AC22" s="4"/>
      <c r="AD22" s="4"/>
      <c r="AE22" s="4"/>
      <c r="AF22" s="4"/>
      <c r="AG22" s="4"/>
    </row>
    <row r="23">
      <c r="A23" s="46" t="s">
        <v>9</v>
      </c>
      <c r="B23" s="23"/>
      <c r="C23" s="48">
        <f>IFERROR(__xludf.DUMMYFUNCTION("""COMPUTED_VALUE"""),34150.5)</f>
        <v>34150.5</v>
      </c>
      <c r="D23" s="48">
        <f>Mars!C4</f>
        <v>21070</v>
      </c>
      <c r="E23" s="49">
        <v>30000.0</v>
      </c>
      <c r="F23" s="50">
        <f t="shared" si="5"/>
        <v>0.7023333333</v>
      </c>
      <c r="G23" s="48">
        <f>IFERROR(__xludf.DUMMYFUNCTION("""COMPUTED_VALUE"""),66509.34999999999)</f>
        <v>66509.35</v>
      </c>
      <c r="H23" s="48">
        <f>Mars!D4</f>
        <v>68962.68</v>
      </c>
      <c r="I23" s="49">
        <v>70000.0</v>
      </c>
      <c r="J23" s="50">
        <f t="shared" si="6"/>
        <v>0.9851811429</v>
      </c>
      <c r="K23" s="48">
        <f>IFERROR(__xludf.DUMMYFUNCTION("""COMPUTED_VALUE"""),11642.61)</f>
        <v>11642.61</v>
      </c>
      <c r="L23" s="48">
        <f>Mars!E4</f>
        <v>31386.85</v>
      </c>
      <c r="M23" s="49">
        <v>15000.0</v>
      </c>
      <c r="N23" s="50">
        <f t="shared" si="7"/>
        <v>2.092456667</v>
      </c>
      <c r="O23" s="48">
        <f>IFERROR(__xludf.DUMMYFUNCTION("""COMPUTED_VALUE"""),22094.81)</f>
        <v>22094.81</v>
      </c>
      <c r="P23" s="48">
        <f>Mars!F4</f>
        <v>33480.25</v>
      </c>
      <c r="Q23" s="49">
        <v>25000.0</v>
      </c>
      <c r="R23" s="50">
        <f t="shared" si="8"/>
        <v>1.33921</v>
      </c>
      <c r="S23" s="48">
        <f>IFERROR(__xludf.DUMMYFUNCTION("""COMPUTED_VALUE"""),0.0)</f>
        <v>0</v>
      </c>
      <c r="T23" s="48">
        <f>Mars!G4</f>
        <v>0</v>
      </c>
      <c r="U23" s="48"/>
      <c r="V23" s="50" t="str">
        <f t="shared" si="9"/>
        <v>#DIV/0!</v>
      </c>
      <c r="W23" s="48"/>
      <c r="X23" s="48" t="str">
        <f>Mars!K4</f>
        <v/>
      </c>
      <c r="Y23" s="51">
        <v>11600.0</v>
      </c>
      <c r="Z23" s="50">
        <f t="shared" si="10"/>
        <v>0</v>
      </c>
      <c r="AA23" s="4"/>
      <c r="AB23" s="4"/>
      <c r="AC23" s="4"/>
      <c r="AD23" s="4"/>
      <c r="AE23" s="4"/>
      <c r="AF23" s="4"/>
      <c r="AG23" s="4"/>
    </row>
    <row r="24">
      <c r="A24" s="46" t="s">
        <v>10</v>
      </c>
      <c r="B24" s="23"/>
      <c r="C24" s="48">
        <f>IFERROR(__xludf.DUMMYFUNCTION("""COMPUTED_VALUE"""),33500.5)</f>
        <v>33500.5</v>
      </c>
      <c r="D24" s="48">
        <f>Avril!C4</f>
        <v>25260</v>
      </c>
      <c r="E24" s="49">
        <v>30000.0</v>
      </c>
      <c r="F24" s="50">
        <f t="shared" si="5"/>
        <v>0.842</v>
      </c>
      <c r="G24" s="48">
        <f>IFERROR(__xludf.DUMMYFUNCTION("""COMPUTED_VALUE"""),79186.02000000002)</f>
        <v>79186.02</v>
      </c>
      <c r="H24" s="48">
        <f>Avril!D4</f>
        <v>39064.61</v>
      </c>
      <c r="I24" s="49">
        <v>85000.0</v>
      </c>
      <c r="J24" s="50">
        <f t="shared" si="6"/>
        <v>0.4595836471</v>
      </c>
      <c r="K24" s="48">
        <f>IFERROR(__xludf.DUMMYFUNCTION("""COMPUTED_VALUE"""),23780.53)</f>
        <v>23780.53</v>
      </c>
      <c r="L24" s="48">
        <f>Avril!E4</f>
        <v>29332</v>
      </c>
      <c r="M24" s="49">
        <v>25000.0</v>
      </c>
      <c r="N24" s="50">
        <f t="shared" si="7"/>
        <v>1.17328</v>
      </c>
      <c r="O24" s="48">
        <f>IFERROR(__xludf.DUMMYFUNCTION("""COMPUTED_VALUE"""),20840.25)</f>
        <v>20840.25</v>
      </c>
      <c r="P24" s="48">
        <f>Avril!F4</f>
        <v>6875</v>
      </c>
      <c r="Q24" s="49">
        <v>25000.0</v>
      </c>
      <c r="R24" s="50">
        <f t="shared" si="8"/>
        <v>0.275</v>
      </c>
      <c r="S24" s="48">
        <f>IFERROR(__xludf.DUMMYFUNCTION("""COMPUTED_VALUE"""),0.0)</f>
        <v>0</v>
      </c>
      <c r="T24" s="48">
        <f>Avril!G4</f>
        <v>0</v>
      </c>
      <c r="U24" s="48"/>
      <c r="V24" s="50" t="str">
        <f t="shared" si="9"/>
        <v>#DIV/0!</v>
      </c>
      <c r="W24" s="48"/>
      <c r="X24" s="48" t="str">
        <f>Avril!K4</f>
        <v/>
      </c>
      <c r="Y24" s="51">
        <v>1600.0</v>
      </c>
      <c r="Z24" s="50">
        <f t="shared" si="10"/>
        <v>0</v>
      </c>
      <c r="AA24" s="4"/>
      <c r="AB24" s="4"/>
      <c r="AC24" s="4"/>
      <c r="AD24" s="4"/>
      <c r="AE24" s="4"/>
      <c r="AF24" s="4"/>
      <c r="AG24" s="4"/>
    </row>
    <row r="25">
      <c r="A25" s="46" t="s">
        <v>11</v>
      </c>
      <c r="B25" s="23"/>
      <c r="C25" s="48">
        <f>IFERROR(__xludf.DUMMYFUNCTION("""COMPUTED_VALUE"""),14590.5)</f>
        <v>14590.5</v>
      </c>
      <c r="D25" s="48">
        <f>Mai!C4</f>
        <v>0</v>
      </c>
      <c r="E25" s="49">
        <v>20000.0</v>
      </c>
      <c r="F25" s="50">
        <f t="shared" si="5"/>
        <v>0</v>
      </c>
      <c r="G25" s="48">
        <f>IFERROR(__xludf.DUMMYFUNCTION("""COMPUTED_VALUE"""),69990.17000000001)</f>
        <v>69990.17</v>
      </c>
      <c r="H25" s="48">
        <f>Mai!D4</f>
        <v>0</v>
      </c>
      <c r="I25" s="49">
        <v>75000.0</v>
      </c>
      <c r="J25" s="50">
        <f t="shared" si="6"/>
        <v>0</v>
      </c>
      <c r="K25" s="48">
        <f>IFERROR(__xludf.DUMMYFUNCTION("""COMPUTED_VALUE"""),31045.86)</f>
        <v>31045.86</v>
      </c>
      <c r="L25" s="48">
        <f>Mai!E4</f>
        <v>0</v>
      </c>
      <c r="M25" s="49">
        <v>30000.0</v>
      </c>
      <c r="N25" s="50">
        <f t="shared" si="7"/>
        <v>0</v>
      </c>
      <c r="O25" s="48">
        <f>IFERROR(__xludf.DUMMYFUNCTION("""COMPUTED_VALUE"""),18938.75)</f>
        <v>18938.75</v>
      </c>
      <c r="P25" s="48">
        <f>Mai!F4</f>
        <v>0</v>
      </c>
      <c r="Q25" s="49">
        <v>25000.0</v>
      </c>
      <c r="R25" s="50">
        <f t="shared" si="8"/>
        <v>0</v>
      </c>
      <c r="S25" s="48">
        <f>IFERROR(__xludf.DUMMYFUNCTION("""COMPUTED_VALUE"""),0.0)</f>
        <v>0</v>
      </c>
      <c r="T25" s="48">
        <f>Mai!G4</f>
        <v>0</v>
      </c>
      <c r="U25" s="48"/>
      <c r="V25" s="50" t="str">
        <f t="shared" si="9"/>
        <v>#DIV/0!</v>
      </c>
      <c r="W25" s="48"/>
      <c r="X25" s="48" t="str">
        <f>Mai!K4</f>
        <v/>
      </c>
      <c r="Y25" s="51">
        <v>1600.0</v>
      </c>
      <c r="Z25" s="50">
        <f t="shared" si="10"/>
        <v>0</v>
      </c>
      <c r="AA25" s="4"/>
      <c r="AB25" s="4"/>
      <c r="AC25" s="4"/>
      <c r="AD25" s="4"/>
      <c r="AE25" s="4"/>
      <c r="AF25" s="4"/>
      <c r="AG25" s="4"/>
    </row>
    <row r="26">
      <c r="A26" s="46" t="s">
        <v>12</v>
      </c>
      <c r="B26" s="23"/>
      <c r="C26" s="48">
        <f>IFERROR(__xludf.DUMMYFUNCTION("""COMPUTED_VALUE"""),17260.5)</f>
        <v>17260.5</v>
      </c>
      <c r="D26" s="48">
        <f>Juin!C4</f>
        <v>0</v>
      </c>
      <c r="E26" s="49">
        <v>20000.0</v>
      </c>
      <c r="F26" s="50">
        <f t="shared" si="5"/>
        <v>0</v>
      </c>
      <c r="G26" s="48">
        <f>IFERROR(__xludf.DUMMYFUNCTION("""COMPUTED_VALUE"""),36756.18000000001)</f>
        <v>36756.18</v>
      </c>
      <c r="H26" s="48">
        <f>Juin!D4</f>
        <v>0</v>
      </c>
      <c r="I26" s="49">
        <v>40000.0</v>
      </c>
      <c r="J26" s="50">
        <f t="shared" si="6"/>
        <v>0</v>
      </c>
      <c r="K26" s="48">
        <f>IFERROR(__xludf.DUMMYFUNCTION("""COMPUTED_VALUE"""),13619.900000000001)</f>
        <v>13619.9</v>
      </c>
      <c r="L26" s="48">
        <f>Juin!E4</f>
        <v>0</v>
      </c>
      <c r="M26" s="49">
        <v>20000.0</v>
      </c>
      <c r="N26" s="50">
        <f t="shared" si="7"/>
        <v>0</v>
      </c>
      <c r="O26" s="48">
        <f>IFERROR(__xludf.DUMMYFUNCTION("""COMPUTED_VALUE"""),17768.15)</f>
        <v>17768.15</v>
      </c>
      <c r="P26" s="48">
        <f>Juin!F4</f>
        <v>0</v>
      </c>
      <c r="Q26" s="49">
        <v>25000.0</v>
      </c>
      <c r="R26" s="50">
        <f t="shared" si="8"/>
        <v>0</v>
      </c>
      <c r="S26" s="48">
        <f>IFERROR(__xludf.DUMMYFUNCTION("""COMPUTED_VALUE"""),0.0)</f>
        <v>0</v>
      </c>
      <c r="T26" s="48">
        <f>Juin!G4</f>
        <v>0</v>
      </c>
      <c r="U26" s="48"/>
      <c r="V26" s="50" t="str">
        <f t="shared" si="9"/>
        <v>#DIV/0!</v>
      </c>
      <c r="W26" s="48"/>
      <c r="X26" s="48" t="str">
        <f>Juin!K4</f>
        <v/>
      </c>
      <c r="Y26" s="51">
        <v>1600.0</v>
      </c>
      <c r="Z26" s="50">
        <f t="shared" si="10"/>
        <v>0</v>
      </c>
      <c r="AA26" s="4"/>
      <c r="AB26" s="4"/>
      <c r="AC26" s="4"/>
      <c r="AD26" s="4"/>
      <c r="AE26" s="4"/>
      <c r="AF26" s="4"/>
      <c r="AG26" s="4"/>
    </row>
    <row r="27">
      <c r="A27" s="46" t="s">
        <v>13</v>
      </c>
      <c r="B27" s="23"/>
      <c r="C27" s="48">
        <f>IFERROR(__xludf.DUMMYFUNCTION("""COMPUTED_VALUE"""),12655.0)</f>
        <v>12655</v>
      </c>
      <c r="D27" s="48">
        <f>Juillet!C4</f>
        <v>0</v>
      </c>
      <c r="E27" s="49">
        <v>15000.0</v>
      </c>
      <c r="F27" s="50">
        <f t="shared" si="5"/>
        <v>0</v>
      </c>
      <c r="G27" s="48">
        <f>IFERROR(__xludf.DUMMYFUNCTION("""COMPUTED_VALUE"""),47598.05)</f>
        <v>47598.05</v>
      </c>
      <c r="H27" s="48">
        <f>Juillet!D4</f>
        <v>0</v>
      </c>
      <c r="I27" s="49">
        <v>50000.0</v>
      </c>
      <c r="J27" s="50">
        <f t="shared" si="6"/>
        <v>0</v>
      </c>
      <c r="K27" s="48">
        <f>IFERROR(__xludf.DUMMYFUNCTION("""COMPUTED_VALUE"""),80780.1)</f>
        <v>80780.1</v>
      </c>
      <c r="L27" s="48">
        <f>Juillet!E4</f>
        <v>0</v>
      </c>
      <c r="M27" s="49">
        <v>25000.0</v>
      </c>
      <c r="N27" s="50">
        <f t="shared" si="7"/>
        <v>0</v>
      </c>
      <c r="O27" s="48">
        <f>IFERROR(__xludf.DUMMYFUNCTION("""COMPUTED_VALUE"""),14275.25)</f>
        <v>14275.25</v>
      </c>
      <c r="P27" s="48">
        <f>Juillet!F4</f>
        <v>0</v>
      </c>
      <c r="Q27" s="49">
        <v>25000.0</v>
      </c>
      <c r="R27" s="50">
        <f t="shared" si="8"/>
        <v>0</v>
      </c>
      <c r="S27" s="48">
        <f>IFERROR(__xludf.DUMMYFUNCTION("""COMPUTED_VALUE"""),750.0)</f>
        <v>750</v>
      </c>
      <c r="T27" s="48">
        <f>Juillet!G4</f>
        <v>0</v>
      </c>
      <c r="U27" s="48"/>
      <c r="V27" s="50" t="str">
        <f t="shared" si="9"/>
        <v>#DIV/0!</v>
      </c>
      <c r="W27" s="48"/>
      <c r="X27" s="48" t="str">
        <f>Juillet!K4</f>
        <v/>
      </c>
      <c r="Y27" s="51">
        <v>1600.0</v>
      </c>
      <c r="Z27" s="50">
        <f t="shared" si="10"/>
        <v>0</v>
      </c>
      <c r="AA27" s="4"/>
      <c r="AB27" s="4"/>
      <c r="AC27" s="4"/>
      <c r="AD27" s="4"/>
      <c r="AE27" s="4"/>
      <c r="AF27" s="4"/>
      <c r="AG27" s="4"/>
    </row>
    <row r="28">
      <c r="A28" s="46" t="s">
        <v>14</v>
      </c>
      <c r="B28" s="23"/>
      <c r="C28" s="48">
        <f>IFERROR(__xludf.DUMMYFUNCTION("""COMPUTED_VALUE"""),21765.0)</f>
        <v>21765</v>
      </c>
      <c r="D28" s="48">
        <f>'Août'!C4</f>
        <v>0</v>
      </c>
      <c r="E28" s="49">
        <v>20000.0</v>
      </c>
      <c r="F28" s="50">
        <f t="shared" si="5"/>
        <v>0</v>
      </c>
      <c r="G28" s="48">
        <f>IFERROR(__xludf.DUMMYFUNCTION("""COMPUTED_VALUE"""),47689.21)</f>
        <v>47689.21</v>
      </c>
      <c r="H28" s="48">
        <f>'Août'!D4</f>
        <v>0</v>
      </c>
      <c r="I28" s="49">
        <v>50000.0</v>
      </c>
      <c r="J28" s="50">
        <f t="shared" si="6"/>
        <v>0</v>
      </c>
      <c r="K28" s="48">
        <f>IFERROR(__xludf.DUMMYFUNCTION("""COMPUTED_VALUE"""),1833.0)</f>
        <v>1833</v>
      </c>
      <c r="L28" s="48">
        <f>'Août'!E4</f>
        <v>0</v>
      </c>
      <c r="M28" s="49">
        <v>10000.0</v>
      </c>
      <c r="N28" s="50">
        <f t="shared" si="7"/>
        <v>0</v>
      </c>
      <c r="O28" s="48">
        <f>IFERROR(__xludf.DUMMYFUNCTION("""COMPUTED_VALUE"""),18979.55)</f>
        <v>18979.55</v>
      </c>
      <c r="P28" s="48">
        <f>'Août'!F4</f>
        <v>0</v>
      </c>
      <c r="Q28" s="49">
        <v>25000.0</v>
      </c>
      <c r="R28" s="50">
        <f t="shared" si="8"/>
        <v>0</v>
      </c>
      <c r="S28" s="48">
        <f>IFERROR(__xludf.DUMMYFUNCTION("""COMPUTED_VALUE"""),0.0)</f>
        <v>0</v>
      </c>
      <c r="T28" s="48">
        <f>'Août'!G4</f>
        <v>0</v>
      </c>
      <c r="U28" s="48"/>
      <c r="V28" s="50" t="str">
        <f t="shared" si="9"/>
        <v>#DIV/0!</v>
      </c>
      <c r="W28" s="48"/>
      <c r="X28" s="48" t="str">
        <f>'Août'!K4</f>
        <v/>
      </c>
      <c r="Y28" s="51">
        <v>1600.0</v>
      </c>
      <c r="Z28" s="50">
        <f t="shared" si="10"/>
        <v>0</v>
      </c>
      <c r="AA28" s="4"/>
      <c r="AB28" s="4"/>
      <c r="AC28" s="4"/>
      <c r="AD28" s="4"/>
      <c r="AE28" s="4"/>
      <c r="AF28" s="4"/>
      <c r="AG28" s="4"/>
    </row>
    <row r="29">
      <c r="A29" s="46" t="s">
        <v>15</v>
      </c>
      <c r="B29" s="23"/>
      <c r="C29" s="48">
        <f>IFERROR(__xludf.DUMMYFUNCTION("""COMPUTED_VALUE"""),5780.0)</f>
        <v>5780</v>
      </c>
      <c r="D29" s="48">
        <f>Septembre!C4</f>
        <v>0</v>
      </c>
      <c r="E29" s="49">
        <v>10000.0</v>
      </c>
      <c r="F29" s="50">
        <f t="shared" si="5"/>
        <v>0</v>
      </c>
      <c r="G29" s="48">
        <f>IFERROR(__xludf.DUMMYFUNCTION("""COMPUTED_VALUE"""),64565.69)</f>
        <v>64565.69</v>
      </c>
      <c r="H29" s="48">
        <f>Septembre!D4</f>
        <v>0</v>
      </c>
      <c r="I29" s="49">
        <v>70000.0</v>
      </c>
      <c r="J29" s="50">
        <f t="shared" si="6"/>
        <v>0</v>
      </c>
      <c r="K29" s="48">
        <f>IFERROR(__xludf.DUMMYFUNCTION("""COMPUTED_VALUE"""),33475.82)</f>
        <v>33475.82</v>
      </c>
      <c r="L29" s="48">
        <f>Septembre!E4</f>
        <v>0</v>
      </c>
      <c r="M29" s="49">
        <v>35000.0</v>
      </c>
      <c r="N29" s="50">
        <f t="shared" si="7"/>
        <v>0</v>
      </c>
      <c r="O29" s="48">
        <f>IFERROR(__xludf.DUMMYFUNCTION("""COMPUTED_VALUE"""),15173.95)</f>
        <v>15173.95</v>
      </c>
      <c r="P29" s="48">
        <f>Septembre!F4</f>
        <v>0</v>
      </c>
      <c r="Q29" s="49">
        <v>25000.0</v>
      </c>
      <c r="R29" s="50">
        <f t="shared" si="8"/>
        <v>0</v>
      </c>
      <c r="S29" s="48">
        <f>IFERROR(__xludf.DUMMYFUNCTION("""COMPUTED_VALUE"""),0.0)</f>
        <v>0</v>
      </c>
      <c r="T29" s="48">
        <f>Septembre!G4</f>
        <v>0</v>
      </c>
      <c r="U29" s="48"/>
      <c r="V29" s="50" t="str">
        <f t="shared" si="9"/>
        <v>#DIV/0!</v>
      </c>
      <c r="W29" s="48"/>
      <c r="X29" s="48" t="str">
        <f>Septembre!K4</f>
        <v/>
      </c>
      <c r="Y29" s="51">
        <v>1600.0</v>
      </c>
      <c r="Z29" s="50">
        <f t="shared" si="10"/>
        <v>0</v>
      </c>
      <c r="AA29" s="4"/>
      <c r="AB29" s="4"/>
      <c r="AC29" s="4"/>
      <c r="AD29" s="4"/>
      <c r="AE29" s="4"/>
      <c r="AF29" s="4"/>
      <c r="AG29" s="4"/>
    </row>
    <row r="30">
      <c r="A30" s="46" t="s">
        <v>16</v>
      </c>
      <c r="B30" s="23"/>
      <c r="C30" s="48">
        <f>IFERROR(__xludf.DUMMYFUNCTION("""COMPUTED_VALUE"""),-945.0)</f>
        <v>-945</v>
      </c>
      <c r="D30" s="48">
        <f>Octobre!C4</f>
        <v>0</v>
      </c>
      <c r="E30" s="49">
        <v>10000.0</v>
      </c>
      <c r="F30" s="50">
        <f t="shared" si="5"/>
        <v>0</v>
      </c>
      <c r="G30" s="48">
        <f>IFERROR(__xludf.DUMMYFUNCTION("""COMPUTED_VALUE"""),80809.22000000002)</f>
        <v>80809.22</v>
      </c>
      <c r="H30" s="48">
        <f>Octobre!D4</f>
        <v>0</v>
      </c>
      <c r="I30" s="49">
        <v>80000.0</v>
      </c>
      <c r="J30" s="50">
        <f t="shared" si="6"/>
        <v>0</v>
      </c>
      <c r="K30" s="48">
        <f>IFERROR(__xludf.DUMMYFUNCTION("""COMPUTED_VALUE"""),327818.61)</f>
        <v>327818.61</v>
      </c>
      <c r="L30" s="48">
        <f>Octobre!E4</f>
        <v>0</v>
      </c>
      <c r="M30" s="49">
        <v>30000.0</v>
      </c>
      <c r="N30" s="50">
        <f t="shared" si="7"/>
        <v>0</v>
      </c>
      <c r="O30" s="48">
        <f>IFERROR(__xludf.DUMMYFUNCTION("""COMPUTED_VALUE"""),22531.5)</f>
        <v>22531.5</v>
      </c>
      <c r="P30" s="48">
        <f>Octobre!F4</f>
        <v>0</v>
      </c>
      <c r="Q30" s="49">
        <v>25000.0</v>
      </c>
      <c r="R30" s="50">
        <f t="shared" si="8"/>
        <v>0</v>
      </c>
      <c r="S30" s="48">
        <f>IFERROR(__xludf.DUMMYFUNCTION("""COMPUTED_VALUE"""),0.0)</f>
        <v>0</v>
      </c>
      <c r="T30" s="48">
        <f>Octobre!G4</f>
        <v>0</v>
      </c>
      <c r="U30" s="48"/>
      <c r="V30" s="50" t="str">
        <f t="shared" si="9"/>
        <v>#DIV/0!</v>
      </c>
      <c r="W30" s="48"/>
      <c r="X30" s="48" t="str">
        <f>Octobre!K4</f>
        <v/>
      </c>
      <c r="Y30" s="51">
        <v>1600.0</v>
      </c>
      <c r="Z30" s="50">
        <f t="shared" si="10"/>
        <v>0</v>
      </c>
      <c r="AA30" s="4"/>
      <c r="AB30" s="4"/>
      <c r="AC30" s="4"/>
      <c r="AD30" s="4"/>
      <c r="AE30" s="4"/>
      <c r="AF30" s="4"/>
      <c r="AG30" s="4"/>
    </row>
    <row r="31">
      <c r="A31" s="46" t="s">
        <v>17</v>
      </c>
      <c r="B31" s="23"/>
      <c r="C31" s="48">
        <f>IFERROR(__xludf.DUMMYFUNCTION("""COMPUTED_VALUE"""),0.0)</f>
        <v>0</v>
      </c>
      <c r="D31" s="48">
        <f>Novembre!C4</f>
        <v>0</v>
      </c>
      <c r="E31" s="49">
        <v>4000.0</v>
      </c>
      <c r="F31" s="50">
        <f t="shared" si="5"/>
        <v>0</v>
      </c>
      <c r="G31" s="48">
        <f>IFERROR(__xludf.DUMMYFUNCTION("""COMPUTED_VALUE"""),44786.039999999986)</f>
        <v>44786.04</v>
      </c>
      <c r="H31" s="48">
        <f>Novembre!D4</f>
        <v>0</v>
      </c>
      <c r="I31" s="49">
        <v>50000.0</v>
      </c>
      <c r="J31" s="50">
        <f t="shared" si="6"/>
        <v>0</v>
      </c>
      <c r="K31" s="48">
        <f>IFERROR(__xludf.DUMMYFUNCTION("""COMPUTED_VALUE"""),44033.8)</f>
        <v>44033.8</v>
      </c>
      <c r="L31" s="48">
        <f>Novembre!E4</f>
        <v>0</v>
      </c>
      <c r="M31" s="49">
        <v>30000.0</v>
      </c>
      <c r="N31" s="50">
        <f t="shared" si="7"/>
        <v>0</v>
      </c>
      <c r="O31" s="48">
        <f>IFERROR(__xludf.DUMMYFUNCTION("""COMPUTED_VALUE"""),26819.260000000002)</f>
        <v>26819.26</v>
      </c>
      <c r="P31" s="48">
        <f>Novembre!F4</f>
        <v>0</v>
      </c>
      <c r="Q31" s="49">
        <v>25000.0</v>
      </c>
      <c r="R31" s="50">
        <f t="shared" si="8"/>
        <v>0</v>
      </c>
      <c r="S31" s="48">
        <f>IFERROR(__xludf.DUMMYFUNCTION("""COMPUTED_VALUE"""),0.0)</f>
        <v>0</v>
      </c>
      <c r="T31" s="48">
        <f>Novembre!G4</f>
        <v>0</v>
      </c>
      <c r="U31" s="48"/>
      <c r="V31" s="50" t="str">
        <f t="shared" si="9"/>
        <v>#DIV/0!</v>
      </c>
      <c r="W31" s="48"/>
      <c r="X31" s="48" t="str">
        <f>Novembre!K4</f>
        <v/>
      </c>
      <c r="Y31" s="51">
        <v>1600.0</v>
      </c>
      <c r="Z31" s="50">
        <f t="shared" si="10"/>
        <v>0</v>
      </c>
      <c r="AA31" s="4"/>
      <c r="AB31" s="4"/>
      <c r="AC31" s="4"/>
      <c r="AD31" s="4"/>
      <c r="AE31" s="4"/>
      <c r="AF31" s="4"/>
      <c r="AG31" s="4"/>
    </row>
    <row r="32">
      <c r="A32" s="46" t="s">
        <v>18</v>
      </c>
      <c r="B32" s="23"/>
      <c r="C32" s="48">
        <f>IFERROR(__xludf.DUMMYFUNCTION("""COMPUTED_VALUE"""),0.0)</f>
        <v>0</v>
      </c>
      <c r="D32" s="48">
        <f>'Décembre'!C4</f>
        <v>0</v>
      </c>
      <c r="E32" s="49">
        <v>4000.0</v>
      </c>
      <c r="F32" s="50">
        <f t="shared" si="5"/>
        <v>0</v>
      </c>
      <c r="G32" s="48">
        <f>IFERROR(__xludf.DUMMYFUNCTION("""COMPUTED_VALUE"""),38403.28999999999)</f>
        <v>38403.29</v>
      </c>
      <c r="H32" s="48">
        <f>'Décembre'!D4</f>
        <v>0</v>
      </c>
      <c r="I32" s="49">
        <v>30000.0</v>
      </c>
      <c r="J32" s="50">
        <f t="shared" si="6"/>
        <v>0</v>
      </c>
      <c r="K32" s="48">
        <f>IFERROR(__xludf.DUMMYFUNCTION("""COMPUTED_VALUE"""),5384.4)</f>
        <v>5384.4</v>
      </c>
      <c r="L32" s="48">
        <f>'Décembre'!E4</f>
        <v>0</v>
      </c>
      <c r="M32" s="49">
        <v>12000.0</v>
      </c>
      <c r="N32" s="50">
        <f t="shared" si="7"/>
        <v>0</v>
      </c>
      <c r="O32" s="48">
        <f>IFERROR(__xludf.DUMMYFUNCTION("""COMPUTED_VALUE"""),25596.5)</f>
        <v>25596.5</v>
      </c>
      <c r="P32" s="48">
        <f>'Décembre'!F4</f>
        <v>0</v>
      </c>
      <c r="Q32" s="49">
        <v>25000.0</v>
      </c>
      <c r="R32" s="50">
        <f t="shared" si="8"/>
        <v>0</v>
      </c>
      <c r="S32" s="48">
        <f>IFERROR(__xludf.DUMMYFUNCTION("""COMPUTED_VALUE"""),0.0)</f>
        <v>0</v>
      </c>
      <c r="T32" s="48">
        <f>'Décembre'!G4</f>
        <v>0</v>
      </c>
      <c r="U32" s="48"/>
      <c r="V32" s="50" t="str">
        <f t="shared" si="9"/>
        <v>#DIV/0!</v>
      </c>
      <c r="W32" s="48"/>
      <c r="X32" s="48" t="str">
        <f>'Décembre'!K4</f>
        <v/>
      </c>
      <c r="Y32" s="51">
        <v>1600.0</v>
      </c>
      <c r="Z32" s="50">
        <f t="shared" si="10"/>
        <v>0</v>
      </c>
      <c r="AA32" s="4"/>
      <c r="AB32" s="4"/>
      <c r="AC32" s="4"/>
      <c r="AD32" s="4"/>
      <c r="AE32" s="4"/>
      <c r="AF32" s="4"/>
      <c r="AG32" s="4"/>
    </row>
    <row r="33">
      <c r="A33" s="52" t="s">
        <v>1</v>
      </c>
      <c r="B33" s="23"/>
      <c r="C33" s="53">
        <f t="shared" ref="C33:E33" si="11">SUM(C21:C32)</f>
        <v>149047</v>
      </c>
      <c r="D33" s="53">
        <f t="shared" si="11"/>
        <v>55700</v>
      </c>
      <c r="E33" s="53">
        <f t="shared" si="11"/>
        <v>175000</v>
      </c>
      <c r="F33" s="54">
        <f t="shared" si="5"/>
        <v>0.3182857143</v>
      </c>
      <c r="G33" s="53">
        <f t="shared" ref="G33:I33" si="12">SUM(G21:G32)</f>
        <v>666631.95</v>
      </c>
      <c r="H33" s="53">
        <f t="shared" si="12"/>
        <v>161675.3</v>
      </c>
      <c r="I33" s="53">
        <f t="shared" si="12"/>
        <v>700000</v>
      </c>
      <c r="J33" s="54">
        <f t="shared" si="6"/>
        <v>0.2309647143</v>
      </c>
      <c r="K33" s="53">
        <f t="shared" ref="K33:M33" si="13">SUM(K21:K32)</f>
        <v>579292.14</v>
      </c>
      <c r="L33" s="53">
        <f t="shared" si="13"/>
        <v>138272.67</v>
      </c>
      <c r="M33" s="53">
        <f t="shared" si="13"/>
        <v>249000</v>
      </c>
      <c r="N33" s="54">
        <f t="shared" si="7"/>
        <v>0.5553119277</v>
      </c>
      <c r="O33" s="53">
        <f t="shared" ref="O33:Q33" si="14">SUM(O21:O32)</f>
        <v>241104.15</v>
      </c>
      <c r="P33" s="53">
        <f t="shared" si="14"/>
        <v>104994.75</v>
      </c>
      <c r="Q33" s="53">
        <f t="shared" si="14"/>
        <v>300000</v>
      </c>
      <c r="R33" s="54">
        <f t="shared" si="8"/>
        <v>0.3499825</v>
      </c>
      <c r="S33" s="53">
        <f t="shared" ref="S33:U33" si="15">SUM(S21:S32)</f>
        <v>750</v>
      </c>
      <c r="T33" s="53">
        <f t="shared" si="15"/>
        <v>450</v>
      </c>
      <c r="U33" s="53">
        <f t="shared" si="15"/>
        <v>0</v>
      </c>
      <c r="V33" s="54" t="str">
        <f t="shared" si="9"/>
        <v>#DIV/0!</v>
      </c>
      <c r="W33" s="53">
        <f t="shared" ref="W33:Y33" si="16">SUM(W21:W32)</f>
        <v>0</v>
      </c>
      <c r="X33" s="53">
        <f t="shared" si="16"/>
        <v>0</v>
      </c>
      <c r="Y33" s="53">
        <f t="shared" si="16"/>
        <v>26000</v>
      </c>
      <c r="Z33" s="54">
        <f t="shared" si="10"/>
        <v>0</v>
      </c>
      <c r="AA33" s="55"/>
      <c r="AB33" s="55"/>
      <c r="AC33" s="55"/>
      <c r="AD33" s="55"/>
      <c r="AE33" s="55"/>
      <c r="AF33" s="55"/>
      <c r="AG33" s="55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11"/>
      <c r="F36" s="56"/>
      <c r="G36" s="57"/>
      <c r="H36" s="5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58"/>
      <c r="F37" s="56"/>
      <c r="G37" s="57"/>
      <c r="H37" s="5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58"/>
      <c r="F38" s="56"/>
      <c r="G38" s="57"/>
      <c r="H38" s="5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4"/>
      <c r="C39" s="4"/>
      <c r="D39" s="4"/>
      <c r="E39" s="58"/>
      <c r="F39" s="56"/>
      <c r="G39" s="57"/>
      <c r="H39" s="5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58"/>
      <c r="F40" s="56"/>
      <c r="G40" s="57"/>
      <c r="H40" s="5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58"/>
      <c r="F41" s="56"/>
      <c r="G41" s="57"/>
      <c r="H41" s="5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58"/>
      <c r="F42" s="56"/>
      <c r="G42" s="57"/>
      <c r="H42" s="5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58"/>
      <c r="F43" s="56"/>
      <c r="G43" s="57"/>
      <c r="H43" s="5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58"/>
      <c r="F44" s="56"/>
      <c r="G44" s="57"/>
      <c r="H44" s="5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58"/>
      <c r="F45" s="56"/>
      <c r="G45" s="57"/>
      <c r="H45" s="5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58"/>
      <c r="F46" s="56"/>
      <c r="G46" s="57"/>
      <c r="H46" s="5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58"/>
      <c r="F47" s="56"/>
      <c r="G47" s="57"/>
      <c r="H47" s="5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58"/>
      <c r="F48" s="56"/>
      <c r="G48" s="57"/>
      <c r="H48" s="5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</sheetData>
  <mergeCells count="57">
    <mergeCell ref="A27:B27"/>
    <mergeCell ref="A28:B28"/>
    <mergeCell ref="A29:B29"/>
    <mergeCell ref="A30:B30"/>
    <mergeCell ref="A31:B31"/>
    <mergeCell ref="A32:B32"/>
    <mergeCell ref="A33:B33"/>
    <mergeCell ref="A20:B20"/>
    <mergeCell ref="A21:B21"/>
    <mergeCell ref="A22:B22"/>
    <mergeCell ref="A23:B23"/>
    <mergeCell ref="A24:B24"/>
    <mergeCell ref="A25:B25"/>
    <mergeCell ref="A26:B26"/>
    <mergeCell ref="A1:G1"/>
    <mergeCell ref="A2:B2"/>
    <mergeCell ref="C2:G2"/>
    <mergeCell ref="A3:B3"/>
    <mergeCell ref="K3:K4"/>
    <mergeCell ref="L3:N4"/>
    <mergeCell ref="AD4:AE4"/>
    <mergeCell ref="A4:B4"/>
    <mergeCell ref="A5:B5"/>
    <mergeCell ref="K5:K6"/>
    <mergeCell ref="L5:N6"/>
    <mergeCell ref="A6:B6"/>
    <mergeCell ref="K7:K8"/>
    <mergeCell ref="L7:N8"/>
    <mergeCell ref="AD12:AE12"/>
    <mergeCell ref="AD13:AE13"/>
    <mergeCell ref="AD14:AE14"/>
    <mergeCell ref="AD15:AE15"/>
    <mergeCell ref="AD16:AE16"/>
    <mergeCell ref="AD17:AE17"/>
    <mergeCell ref="AD5:AE5"/>
    <mergeCell ref="AD6:AE6"/>
    <mergeCell ref="AD7:AE7"/>
    <mergeCell ref="AD8:AE8"/>
    <mergeCell ref="AD9:AE9"/>
    <mergeCell ref="AD10:AE10"/>
    <mergeCell ref="AD11:AE11"/>
    <mergeCell ref="S19:V19"/>
    <mergeCell ref="W19:Z19"/>
    <mergeCell ref="A14:B14"/>
    <mergeCell ref="A15:B15"/>
    <mergeCell ref="A16:B16"/>
    <mergeCell ref="C19:F19"/>
    <mergeCell ref="G19:J19"/>
    <mergeCell ref="K19:N19"/>
    <mergeCell ref="O19:R19"/>
    <mergeCell ref="A7:B7"/>
    <mergeCell ref="A8:B8"/>
    <mergeCell ref="A9:B9"/>
    <mergeCell ref="A10:B10"/>
    <mergeCell ref="A11:B11"/>
    <mergeCell ref="A12:B12"/>
    <mergeCell ref="A13:B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25.29"/>
    <col customWidth="1" min="4" max="4" width="27.43"/>
    <col customWidth="1" min="5" max="6" width="25.29"/>
    <col customWidth="1" min="7" max="7" width="26.14"/>
    <col customWidth="1" min="8" max="12" width="25.29"/>
    <col customWidth="1" min="13" max="28" width="27.43"/>
  </cols>
  <sheetData>
    <row r="1">
      <c r="A1" s="59" t="s">
        <v>25</v>
      </c>
      <c r="B1" s="2"/>
      <c r="C1" s="2"/>
      <c r="D1" s="2"/>
      <c r="E1" s="2"/>
      <c r="F1" s="3"/>
      <c r="G1" s="60" t="s">
        <v>26</v>
      </c>
      <c r="H1" s="61"/>
      <c r="I1" s="6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3" t="s">
        <v>27</v>
      </c>
      <c r="B2" s="64" t="s">
        <v>28</v>
      </c>
      <c r="C2" s="64" t="s">
        <v>29</v>
      </c>
      <c r="D2" s="64" t="s">
        <v>30</v>
      </c>
      <c r="E2" s="65" t="s">
        <v>31</v>
      </c>
      <c r="F2" s="64" t="s">
        <v>32</v>
      </c>
      <c r="G2" s="23"/>
      <c r="H2" s="23"/>
      <c r="I2" s="6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6"/>
      <c r="B3" s="67"/>
      <c r="C3" s="68"/>
      <c r="D3" s="69"/>
      <c r="E3" s="67"/>
      <c r="F3" s="68"/>
      <c r="G3" s="62"/>
      <c r="H3" s="62"/>
      <c r="I3" s="6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66"/>
      <c r="B4" s="70"/>
      <c r="C4" s="68"/>
      <c r="D4" s="69"/>
      <c r="E4" s="38"/>
      <c r="F4" s="69"/>
      <c r="G4" s="71" t="s">
        <v>33</v>
      </c>
      <c r="H4" s="72"/>
      <c r="I4" s="6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73"/>
      <c r="AA4" s="73"/>
      <c r="AB4" s="73"/>
    </row>
    <row r="5">
      <c r="A5" s="66"/>
      <c r="B5" s="70"/>
      <c r="C5" s="69"/>
      <c r="D5" s="69"/>
      <c r="E5" s="38"/>
      <c r="F5" s="69"/>
      <c r="G5" s="20"/>
      <c r="H5" s="20"/>
      <c r="I5" s="6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73"/>
      <c r="AA5" s="73"/>
      <c r="AB5" s="73"/>
    </row>
    <row r="6">
      <c r="A6" s="66"/>
      <c r="B6" s="70"/>
      <c r="C6" s="69"/>
      <c r="D6" s="69"/>
      <c r="E6" s="74"/>
      <c r="F6" s="69"/>
      <c r="G6" s="62"/>
      <c r="H6" s="62"/>
      <c r="I6" s="6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73"/>
      <c r="AA6" s="73"/>
      <c r="AB6" s="73"/>
    </row>
    <row r="7">
      <c r="A7" s="75"/>
      <c r="B7" s="68"/>
      <c r="C7" s="69"/>
      <c r="D7" s="69"/>
      <c r="E7" s="74"/>
      <c r="F7" s="69"/>
      <c r="G7" s="76"/>
      <c r="H7" s="76"/>
      <c r="I7" s="7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75"/>
      <c r="B8" s="68"/>
      <c r="C8" s="69"/>
      <c r="D8" s="68"/>
      <c r="E8" s="38"/>
      <c r="F8" s="69"/>
      <c r="G8" s="77"/>
      <c r="H8" s="77"/>
      <c r="I8" s="7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75"/>
      <c r="B9" s="68"/>
      <c r="C9" s="68"/>
      <c r="D9" s="69"/>
      <c r="E9" s="38"/>
      <c r="F9" s="69"/>
      <c r="G9" s="78" t="s">
        <v>34</v>
      </c>
      <c r="H9" s="79">
        <f>Objectif!D16*0.05</f>
        <v>23679.386</v>
      </c>
      <c r="I9" s="80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75"/>
      <c r="B10" s="68"/>
      <c r="C10" s="68"/>
      <c r="D10" s="69"/>
      <c r="E10" s="67"/>
      <c r="F10" s="69"/>
      <c r="G10" s="23"/>
      <c r="H10" s="22"/>
      <c r="I10" s="2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75"/>
      <c r="B11" s="68"/>
      <c r="C11" s="69"/>
      <c r="D11" s="69"/>
      <c r="E11" s="38"/>
      <c r="F11" s="69"/>
      <c r="G11" s="81" t="s">
        <v>35</v>
      </c>
      <c r="H11" s="79">
        <f>H1+H9-C29+I18</f>
        <v>23679.386</v>
      </c>
      <c r="I11" s="8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75"/>
      <c r="B12" s="68"/>
      <c r="C12" s="68"/>
      <c r="D12" s="68"/>
      <c r="E12" s="48"/>
      <c r="F12" s="69"/>
      <c r="G12" s="23"/>
      <c r="H12" s="22"/>
      <c r="I12" s="2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75"/>
      <c r="B13" s="68"/>
      <c r="C13" s="69"/>
      <c r="D13" s="69"/>
      <c r="E13" s="38"/>
      <c r="F13" s="69"/>
      <c r="G13" s="76"/>
      <c r="H13" s="76"/>
      <c r="I13" s="7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75"/>
      <c r="B14" s="68"/>
      <c r="C14" s="69"/>
      <c r="D14" s="68"/>
      <c r="E14" s="38"/>
      <c r="F14" s="69"/>
      <c r="G14" s="77"/>
      <c r="H14" s="77"/>
      <c r="I14" s="7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75"/>
      <c r="B15" s="68"/>
      <c r="C15" s="68"/>
      <c r="D15" s="69"/>
      <c r="E15" s="74"/>
      <c r="F15" s="69"/>
      <c r="G15" s="81" t="s">
        <v>36</v>
      </c>
      <c r="H15" s="82" t="s">
        <v>37</v>
      </c>
      <c r="I15" s="8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83"/>
      <c r="B16" s="68"/>
      <c r="C16" s="69"/>
      <c r="D16" s="68"/>
      <c r="E16" s="74"/>
      <c r="F16" s="69"/>
      <c r="G16" s="23"/>
      <c r="H16" s="22"/>
      <c r="I16" s="2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83"/>
      <c r="B17" s="68"/>
      <c r="C17" s="68"/>
      <c r="D17" s="69"/>
      <c r="E17" s="74"/>
      <c r="F17" s="69"/>
      <c r="G17" s="84"/>
      <c r="H17" s="84"/>
      <c r="I17" s="8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83"/>
      <c r="B18" s="68"/>
      <c r="C18" s="69"/>
      <c r="D18" s="68"/>
      <c r="E18" s="74"/>
      <c r="F18" s="69"/>
      <c r="G18" s="85" t="s">
        <v>38</v>
      </c>
      <c r="H18" s="23"/>
      <c r="I18" s="86">
        <f>SUM(I19:I47)</f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83"/>
      <c r="B19" s="68"/>
      <c r="C19" s="68"/>
      <c r="D19" s="69"/>
      <c r="E19" s="38"/>
      <c r="F19" s="68"/>
      <c r="G19" s="87"/>
      <c r="I19" s="8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83"/>
      <c r="B20" s="68"/>
      <c r="C20" s="69"/>
      <c r="D20" s="69"/>
      <c r="E20" s="38"/>
      <c r="F20" s="69"/>
      <c r="G20" s="87"/>
      <c r="I20" s="8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83"/>
      <c r="B21" s="68"/>
      <c r="C21" s="68"/>
      <c r="D21" s="69"/>
      <c r="E21" s="38"/>
      <c r="F21" s="69"/>
      <c r="G21" s="87"/>
      <c r="I21" s="8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83"/>
      <c r="B22" s="68"/>
      <c r="C22" s="69"/>
      <c r="D22" s="69"/>
      <c r="E22" s="67"/>
      <c r="F22" s="69"/>
      <c r="G22" s="87"/>
      <c r="I22" s="87"/>
      <c r="J22" s="4">
        <f>3711.68</f>
        <v>3711.68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83"/>
      <c r="B23" s="68"/>
      <c r="C23" s="69"/>
      <c r="D23" s="69"/>
      <c r="E23" s="38"/>
      <c r="F23" s="69"/>
      <c r="G23" s="87"/>
      <c r="I23" s="87"/>
      <c r="J23" s="88">
        <f>Mars!B2-C9</f>
        <v>15489.978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83"/>
      <c r="B24" s="68"/>
      <c r="C24" s="68"/>
      <c r="D24" s="69"/>
      <c r="E24" s="38"/>
      <c r="F24" s="69"/>
      <c r="G24" s="87"/>
      <c r="I24" s="8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83"/>
      <c r="B25" s="68"/>
      <c r="C25" s="69"/>
      <c r="D25" s="68"/>
      <c r="E25" s="38"/>
      <c r="F25" s="69"/>
      <c r="G25" s="87"/>
      <c r="I25" s="8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83"/>
      <c r="B26" s="68"/>
      <c r="C26" s="68"/>
      <c r="D26" s="69"/>
      <c r="E26" s="38"/>
      <c r="F26" s="69"/>
      <c r="G26" s="87"/>
      <c r="I26" s="8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89"/>
      <c r="B27" s="68"/>
      <c r="C27" s="69"/>
      <c r="D27" s="69"/>
      <c r="E27" s="38"/>
      <c r="F27" s="69"/>
      <c r="G27" s="87"/>
      <c r="I27" s="8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89"/>
      <c r="B28" s="68"/>
      <c r="C28" s="69"/>
      <c r="D28" s="69"/>
      <c r="E28" s="38"/>
      <c r="F28" s="69"/>
      <c r="G28" s="87"/>
      <c r="I28" s="8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90" t="s">
        <v>39</v>
      </c>
      <c r="B29" s="91"/>
      <c r="C29" s="91">
        <f t="shared" ref="C29:F29" si="1">SUM(C3:C28)</f>
        <v>0</v>
      </c>
      <c r="D29" s="91">
        <f t="shared" si="1"/>
        <v>0</v>
      </c>
      <c r="E29" s="91">
        <f t="shared" si="1"/>
        <v>0</v>
      </c>
      <c r="F29" s="91">
        <f t="shared" si="1"/>
        <v>0</v>
      </c>
      <c r="G29" s="87"/>
      <c r="I29" s="8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87"/>
      <c r="C30" s="87"/>
      <c r="D30" s="87"/>
      <c r="E30" s="4"/>
      <c r="F30" s="4"/>
      <c r="G30" s="87"/>
      <c r="I30" s="8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25"/>
      <c r="B31" s="87"/>
      <c r="C31" s="87"/>
      <c r="D31" s="87"/>
      <c r="F31" s="4"/>
      <c r="G31" s="87"/>
      <c r="I31" s="8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87"/>
      <c r="C32" s="87"/>
      <c r="D32" s="87"/>
      <c r="E32" s="4"/>
      <c r="F32" s="4"/>
      <c r="G32" s="4"/>
      <c r="I32" s="8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87"/>
      <c r="C33" s="87"/>
      <c r="D33" s="87"/>
      <c r="E33" s="4"/>
      <c r="F33" s="4"/>
      <c r="G33" s="4"/>
      <c r="I33" s="8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87"/>
      <c r="C34" s="87"/>
      <c r="D34" s="87"/>
      <c r="E34" s="4"/>
      <c r="F34" s="4"/>
      <c r="G34" s="4"/>
      <c r="I34" s="8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87"/>
      <c r="C35" s="87"/>
      <c r="D35" s="87"/>
      <c r="E35" s="4"/>
      <c r="F35" s="4"/>
      <c r="G35" s="4"/>
      <c r="I35" s="8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87"/>
      <c r="C36" s="87"/>
      <c r="D36" s="8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87"/>
      <c r="C37" s="87"/>
      <c r="D37" s="8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87"/>
      <c r="C38" s="87"/>
      <c r="D38" s="8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87"/>
      <c r="C39" s="87"/>
      <c r="D39" s="8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87"/>
      <c r="C40" s="87"/>
      <c r="D40" s="8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87"/>
      <c r="C41" s="87"/>
      <c r="D41" s="8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87"/>
      <c r="C42" s="87"/>
      <c r="D42" s="8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87"/>
      <c r="C43" s="87"/>
      <c r="D43" s="8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87"/>
      <c r="C44" s="87"/>
      <c r="D44" s="8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87"/>
      <c r="C45" s="87"/>
      <c r="D45" s="8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87"/>
      <c r="C46" s="87"/>
      <c r="D46" s="8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87"/>
      <c r="C47" s="87"/>
      <c r="D47" s="8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87"/>
      <c r="C48" s="87"/>
      <c r="D48" s="8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87"/>
      <c r="C49" s="87"/>
      <c r="D49" s="8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87"/>
      <c r="C50" s="87"/>
      <c r="D50" s="8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87"/>
      <c r="C51" s="87"/>
      <c r="D51" s="8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87"/>
      <c r="C52" s="87"/>
      <c r="D52" s="8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87"/>
      <c r="C53" s="87"/>
      <c r="D53" s="8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87"/>
      <c r="C54" s="87"/>
      <c r="D54" s="8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87"/>
      <c r="C55" s="87"/>
      <c r="D55" s="8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87"/>
      <c r="C56" s="87"/>
      <c r="D56" s="8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87"/>
      <c r="C57" s="87"/>
      <c r="D57" s="8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87"/>
      <c r="C58" s="87"/>
      <c r="D58" s="8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87"/>
      <c r="C59" s="87"/>
      <c r="D59" s="8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87"/>
      <c r="C60" s="87"/>
      <c r="D60" s="8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87"/>
      <c r="C61" s="87"/>
      <c r="D61" s="8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87"/>
      <c r="C62" s="87"/>
      <c r="D62" s="8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87"/>
      <c r="C63" s="87"/>
      <c r="D63" s="8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87"/>
      <c r="C64" s="87"/>
      <c r="D64" s="8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87"/>
      <c r="C65" s="87"/>
      <c r="D65" s="8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87"/>
      <c r="C66" s="87"/>
      <c r="D66" s="87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87"/>
      <c r="C67" s="87"/>
      <c r="D67" s="8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87"/>
      <c r="C68" s="87"/>
      <c r="D68" s="87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87"/>
      <c r="C69" s="87"/>
      <c r="D69" s="8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87"/>
      <c r="C70" s="87"/>
      <c r="D70" s="87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87"/>
      <c r="C71" s="87"/>
      <c r="D71" s="87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87"/>
      <c r="C72" s="87"/>
      <c r="D72" s="87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87"/>
      <c r="C73" s="87"/>
      <c r="D73" s="8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87"/>
      <c r="C74" s="87"/>
      <c r="D74" s="8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87"/>
      <c r="C75" s="87"/>
      <c r="D75" s="87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87"/>
      <c r="C76" s="87"/>
      <c r="D76" s="87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87"/>
      <c r="C77" s="87"/>
      <c r="D77" s="87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87"/>
      <c r="C78" s="87"/>
      <c r="D78" s="87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87"/>
      <c r="C79" s="87"/>
      <c r="D79" s="87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87"/>
      <c r="C80" s="87"/>
      <c r="D80" s="87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87"/>
      <c r="C81" s="87"/>
      <c r="D81" s="87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87"/>
      <c r="C82" s="87"/>
      <c r="D82" s="87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87"/>
      <c r="C83" s="87"/>
      <c r="D83" s="87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87"/>
      <c r="C84" s="87"/>
      <c r="D84" s="87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87"/>
      <c r="C85" s="87"/>
      <c r="D85" s="87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87"/>
      <c r="C86" s="87"/>
      <c r="D86" s="87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87"/>
      <c r="C87" s="87"/>
      <c r="D87" s="87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87"/>
      <c r="C88" s="87"/>
      <c r="D88" s="87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87"/>
      <c r="C89" s="87"/>
      <c r="D89" s="87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87"/>
      <c r="C90" s="87"/>
      <c r="D90" s="87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87"/>
      <c r="C91" s="87"/>
      <c r="D91" s="8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87"/>
      <c r="C92" s="87"/>
      <c r="D92" s="87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87"/>
      <c r="C93" s="87"/>
      <c r="D93" s="87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87"/>
      <c r="C94" s="87"/>
      <c r="D94" s="87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87"/>
      <c r="C95" s="87"/>
      <c r="D95" s="87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87"/>
      <c r="C96" s="87"/>
      <c r="D96" s="87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87"/>
      <c r="C97" s="87"/>
      <c r="D97" s="87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87"/>
      <c r="C98" s="87"/>
      <c r="D98" s="87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87"/>
      <c r="C99" s="87"/>
      <c r="D99" s="87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87"/>
      <c r="C100" s="87"/>
      <c r="D100" s="87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87"/>
      <c r="C101" s="87"/>
      <c r="D101" s="87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87"/>
      <c r="C102" s="87"/>
      <c r="D102" s="87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87"/>
      <c r="C103" s="87"/>
      <c r="D103" s="87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87"/>
      <c r="C104" s="87"/>
      <c r="D104" s="87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87"/>
      <c r="C105" s="87"/>
      <c r="D105" s="87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87"/>
      <c r="C106" s="87"/>
      <c r="D106" s="87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87"/>
      <c r="C107" s="87"/>
      <c r="D107" s="87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87"/>
      <c r="C108" s="87"/>
      <c r="D108" s="8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87"/>
      <c r="C109" s="87"/>
      <c r="D109" s="87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87"/>
      <c r="C110" s="87"/>
      <c r="D110" s="8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87"/>
      <c r="C111" s="87"/>
      <c r="D111" s="87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87"/>
      <c r="C112" s="87"/>
      <c r="D112" s="87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87"/>
      <c r="C113" s="87"/>
      <c r="D113" s="8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87"/>
      <c r="C114" s="87"/>
      <c r="D114" s="87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87"/>
      <c r="C115" s="87"/>
      <c r="D115" s="87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87"/>
      <c r="C116" s="87"/>
      <c r="D116" s="87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87"/>
      <c r="C117" s="87"/>
      <c r="D117" s="87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87"/>
      <c r="C118" s="87"/>
      <c r="D118" s="87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87"/>
      <c r="C119" s="87"/>
      <c r="D119" s="87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87"/>
      <c r="C120" s="87"/>
      <c r="D120" s="87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87"/>
      <c r="C121" s="87"/>
      <c r="D121" s="87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87"/>
      <c r="C122" s="87"/>
      <c r="D122" s="8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87"/>
      <c r="C123" s="87"/>
      <c r="D123" s="8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87"/>
      <c r="C124" s="87"/>
      <c r="D124" s="8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87"/>
      <c r="C125" s="87"/>
      <c r="D125" s="8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87"/>
      <c r="C126" s="87"/>
      <c r="D126" s="8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87"/>
      <c r="C127" s="87"/>
      <c r="D127" s="8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87"/>
      <c r="C128" s="87"/>
      <c r="D128" s="8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87"/>
      <c r="C129" s="87"/>
      <c r="D129" s="8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87"/>
      <c r="C130" s="87"/>
      <c r="D130" s="8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87"/>
      <c r="C131" s="87"/>
      <c r="D131" s="8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87"/>
      <c r="C132" s="87"/>
      <c r="D132" s="8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87"/>
      <c r="C133" s="87"/>
      <c r="D133" s="8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87"/>
      <c r="C134" s="87"/>
      <c r="D134" s="8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87"/>
      <c r="C135" s="87"/>
      <c r="D135" s="8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87"/>
      <c r="C136" s="87"/>
      <c r="D136" s="8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87"/>
      <c r="C137" s="87"/>
      <c r="D137" s="8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87"/>
      <c r="C138" s="87"/>
      <c r="D138" s="8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87"/>
      <c r="C139" s="87"/>
      <c r="D139" s="8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87"/>
      <c r="C140" s="87"/>
      <c r="D140" s="8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87"/>
      <c r="C141" s="87"/>
      <c r="D141" s="8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87"/>
      <c r="C142" s="87"/>
      <c r="D142" s="8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87"/>
      <c r="C143" s="87"/>
      <c r="D143" s="8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87"/>
      <c r="C144" s="87"/>
      <c r="D144" s="8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87"/>
      <c r="C145" s="87"/>
      <c r="D145" s="8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87"/>
      <c r="C146" s="87"/>
      <c r="D146" s="8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87"/>
      <c r="C147" s="87"/>
      <c r="D147" s="8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87"/>
      <c r="C148" s="87"/>
      <c r="D148" s="8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87"/>
      <c r="C149" s="87"/>
      <c r="D149" s="8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87"/>
      <c r="C150" s="87"/>
      <c r="D150" s="8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87"/>
      <c r="C151" s="87"/>
      <c r="D151" s="8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87"/>
      <c r="C152" s="87"/>
      <c r="D152" s="8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87"/>
      <c r="C153" s="87"/>
      <c r="D153" s="87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87"/>
      <c r="C154" s="87"/>
      <c r="D154" s="8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87"/>
      <c r="C155" s="87"/>
      <c r="D155" s="8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87"/>
      <c r="C156" s="87"/>
      <c r="D156" s="8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87"/>
      <c r="C157" s="87"/>
      <c r="D157" s="8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87"/>
      <c r="C158" s="87"/>
      <c r="D158" s="87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87"/>
      <c r="C159" s="87"/>
      <c r="D159" s="8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87"/>
      <c r="C160" s="87"/>
      <c r="D160" s="8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87"/>
      <c r="C161" s="87"/>
      <c r="D161" s="8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87"/>
      <c r="C162" s="87"/>
      <c r="D162" s="8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87"/>
      <c r="C163" s="87"/>
      <c r="D163" s="8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87"/>
      <c r="C164" s="87"/>
      <c r="D164" s="8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87"/>
      <c r="C165" s="87"/>
      <c r="D165" s="8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87"/>
      <c r="C166" s="87"/>
      <c r="D166" s="8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87"/>
      <c r="C167" s="87"/>
      <c r="D167" s="8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87"/>
      <c r="C168" s="87"/>
      <c r="D168" s="8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87"/>
      <c r="C169" s="87"/>
      <c r="D169" s="8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87"/>
      <c r="C170" s="87"/>
      <c r="D170" s="8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87"/>
      <c r="C171" s="87"/>
      <c r="D171" s="8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87"/>
      <c r="C172" s="87"/>
      <c r="D172" s="8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87"/>
      <c r="C173" s="87"/>
      <c r="D173" s="8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87"/>
      <c r="C174" s="87"/>
      <c r="D174" s="8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87"/>
      <c r="C175" s="87"/>
      <c r="D175" s="8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87"/>
      <c r="C176" s="87"/>
      <c r="D176" s="8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87"/>
      <c r="C177" s="87"/>
      <c r="D177" s="8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87"/>
      <c r="C178" s="87"/>
      <c r="D178" s="8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87"/>
      <c r="C179" s="87"/>
      <c r="D179" s="8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87"/>
      <c r="C180" s="87"/>
      <c r="D180" s="8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87"/>
      <c r="C181" s="87"/>
      <c r="D181" s="8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87"/>
      <c r="C182" s="87"/>
      <c r="D182" s="8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87"/>
      <c r="C183" s="87"/>
      <c r="D183" s="8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87"/>
      <c r="C184" s="87"/>
      <c r="D184" s="8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87"/>
      <c r="C185" s="87"/>
      <c r="D185" s="8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87"/>
      <c r="C186" s="87"/>
      <c r="D186" s="8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87"/>
      <c r="C187" s="87"/>
      <c r="D187" s="8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87"/>
      <c r="C188" s="87"/>
      <c r="D188" s="8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87"/>
      <c r="C189" s="87"/>
      <c r="D189" s="8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87"/>
      <c r="C190" s="87"/>
      <c r="D190" s="8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87"/>
      <c r="C191" s="87"/>
      <c r="D191" s="8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87"/>
      <c r="C192" s="87"/>
      <c r="D192" s="8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87"/>
      <c r="C193" s="87"/>
      <c r="D193" s="8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87"/>
      <c r="C194" s="87"/>
      <c r="D194" s="8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87"/>
      <c r="C195" s="87"/>
      <c r="D195" s="8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87"/>
      <c r="C196" s="87"/>
      <c r="D196" s="8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87"/>
      <c r="C197" s="87"/>
      <c r="D197" s="8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87"/>
      <c r="C198" s="87"/>
      <c r="D198" s="8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87"/>
      <c r="C199" s="87"/>
      <c r="D199" s="8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87"/>
      <c r="C200" s="87"/>
      <c r="D200" s="8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87"/>
      <c r="C201" s="87"/>
      <c r="D201" s="8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87"/>
      <c r="C202" s="87"/>
      <c r="D202" s="8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87"/>
      <c r="C203" s="87"/>
      <c r="D203" s="8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87"/>
      <c r="C204" s="87"/>
      <c r="D204" s="8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87"/>
      <c r="C205" s="87"/>
      <c r="D205" s="8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87"/>
      <c r="C206" s="87"/>
      <c r="D206" s="8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87"/>
      <c r="C207" s="87"/>
      <c r="D207" s="8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87"/>
      <c r="C208" s="87"/>
      <c r="D208" s="8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87"/>
      <c r="C209" s="87"/>
      <c r="D209" s="8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87"/>
      <c r="C210" s="87"/>
      <c r="D210" s="8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87"/>
      <c r="C211" s="87"/>
      <c r="D211" s="8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87"/>
      <c r="C212" s="87"/>
      <c r="D212" s="8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87"/>
      <c r="C213" s="87"/>
      <c r="D213" s="8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87"/>
      <c r="C214" s="87"/>
      <c r="D214" s="8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87"/>
      <c r="C215" s="87"/>
      <c r="D215" s="8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87"/>
      <c r="C216" s="87"/>
      <c r="D216" s="8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87"/>
      <c r="C217" s="87"/>
      <c r="D217" s="8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87"/>
      <c r="C218" s="87"/>
      <c r="D218" s="8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87"/>
      <c r="C219" s="87"/>
      <c r="D219" s="8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87"/>
      <c r="C220" s="87"/>
      <c r="D220" s="8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87"/>
      <c r="C221" s="87"/>
      <c r="D221" s="87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87"/>
      <c r="C222" s="87"/>
      <c r="D222" s="87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87"/>
      <c r="C223" s="87"/>
      <c r="D223" s="8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87"/>
      <c r="C224" s="87"/>
      <c r="D224" s="87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87"/>
      <c r="C225" s="87"/>
      <c r="D225" s="87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87"/>
      <c r="C226" s="87"/>
      <c r="D226" s="87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87"/>
      <c r="C227" s="87"/>
      <c r="D227" s="87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87"/>
      <c r="C228" s="87"/>
      <c r="D228" s="87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87"/>
      <c r="C229" s="87"/>
      <c r="D229" s="87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87"/>
      <c r="C230" s="87"/>
      <c r="D230" s="87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87"/>
      <c r="C231" s="87"/>
      <c r="D231" s="87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87"/>
      <c r="C232" s="87"/>
      <c r="D232" s="87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87"/>
      <c r="C233" s="87"/>
      <c r="D233" s="87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87"/>
      <c r="C234" s="87"/>
      <c r="D234" s="87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87"/>
      <c r="C235" s="87"/>
      <c r="D235" s="87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87"/>
      <c r="C236" s="87"/>
      <c r="D236" s="87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87"/>
      <c r="C237" s="87"/>
      <c r="D237" s="87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87"/>
      <c r="C238" s="87"/>
      <c r="D238" s="87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87"/>
      <c r="C239" s="87"/>
      <c r="D239" s="87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87"/>
      <c r="C240" s="87"/>
      <c r="D240" s="87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87"/>
      <c r="C241" s="87"/>
      <c r="D241" s="87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87"/>
      <c r="C242" s="87"/>
      <c r="D242" s="8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87"/>
      <c r="C243" s="87"/>
      <c r="D243" s="87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87"/>
      <c r="C244" s="87"/>
      <c r="D244" s="87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87"/>
      <c r="C245" s="87"/>
      <c r="D245" s="8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87"/>
      <c r="C246" s="87"/>
      <c r="D246" s="87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87"/>
      <c r="C247" s="87"/>
      <c r="D247" s="87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87"/>
      <c r="C248" s="87"/>
      <c r="D248" s="87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87"/>
      <c r="C249" s="87"/>
      <c r="D249" s="87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87"/>
      <c r="C250" s="87"/>
      <c r="D250" s="87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87"/>
      <c r="C251" s="87"/>
      <c r="D251" s="87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87"/>
      <c r="C252" s="87"/>
      <c r="D252" s="87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87"/>
      <c r="C253" s="87"/>
      <c r="D253" s="87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87"/>
      <c r="C254" s="87"/>
      <c r="D254" s="87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87"/>
      <c r="C255" s="87"/>
      <c r="D255" s="87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87"/>
      <c r="C256" s="87"/>
      <c r="D256" s="87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87"/>
      <c r="C257" s="87"/>
      <c r="D257" s="87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87"/>
      <c r="C258" s="87"/>
      <c r="D258" s="87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87"/>
      <c r="C259" s="87"/>
      <c r="D259" s="87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87"/>
      <c r="C260" s="87"/>
      <c r="D260" s="87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87"/>
      <c r="C261" s="87"/>
      <c r="D261" s="87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87"/>
      <c r="C262" s="87"/>
      <c r="D262" s="87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87"/>
      <c r="C263" s="87"/>
      <c r="D263" s="87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87"/>
      <c r="C264" s="87"/>
      <c r="D264" s="8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87"/>
      <c r="C265" s="87"/>
      <c r="D265" s="87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87"/>
      <c r="C266" s="87"/>
      <c r="D266" s="87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87"/>
      <c r="C267" s="87"/>
      <c r="D267" s="87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87"/>
      <c r="C268" s="87"/>
      <c r="D268" s="8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87"/>
      <c r="C269" s="87"/>
      <c r="D269" s="87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87"/>
      <c r="C270" s="87"/>
      <c r="D270" s="87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87"/>
      <c r="C271" s="87"/>
      <c r="D271" s="87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87"/>
      <c r="C272" s="87"/>
      <c r="D272" s="87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87"/>
      <c r="C273" s="87"/>
      <c r="D273" s="87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87"/>
      <c r="C274" s="87"/>
      <c r="D274" s="87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87"/>
      <c r="C275" s="87"/>
      <c r="D275" s="87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87"/>
      <c r="C276" s="87"/>
      <c r="D276" s="87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87"/>
      <c r="C277" s="87"/>
      <c r="D277" s="87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87"/>
      <c r="C278" s="87"/>
      <c r="D278" s="87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87"/>
      <c r="C279" s="87"/>
      <c r="D279" s="87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87"/>
      <c r="C280" s="87"/>
      <c r="D280" s="87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87"/>
      <c r="C281" s="87"/>
      <c r="D281" s="8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87"/>
      <c r="C282" s="87"/>
      <c r="D282" s="8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87"/>
      <c r="C283" s="87"/>
      <c r="D283" s="8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87"/>
      <c r="C284" s="87"/>
      <c r="D284" s="87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87"/>
      <c r="C285" s="87"/>
      <c r="D285" s="87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87"/>
      <c r="C286" s="87"/>
      <c r="D286" s="87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87"/>
      <c r="C287" s="87"/>
      <c r="D287" s="8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87"/>
      <c r="C288" s="87"/>
      <c r="D288" s="87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87"/>
      <c r="C289" s="87"/>
      <c r="D289" s="87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87"/>
      <c r="C290" s="87"/>
      <c r="D290" s="8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87"/>
      <c r="C291" s="87"/>
      <c r="D291" s="87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87"/>
      <c r="C292" s="87"/>
      <c r="D292" s="87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87"/>
      <c r="C293" s="87"/>
      <c r="D293" s="87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87"/>
      <c r="C294" s="87"/>
      <c r="D294" s="87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87"/>
      <c r="C295" s="87"/>
      <c r="D295" s="87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87"/>
      <c r="C296" s="87"/>
      <c r="D296" s="87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87"/>
      <c r="C297" s="87"/>
      <c r="D297" s="8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87"/>
      <c r="C298" s="87"/>
      <c r="D298" s="87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87"/>
      <c r="C299" s="87"/>
      <c r="D299" s="87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87"/>
      <c r="C300" s="87"/>
      <c r="D300" s="87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87"/>
      <c r="C301" s="87"/>
      <c r="D301" s="87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87"/>
      <c r="C302" s="87"/>
      <c r="D302" s="87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87"/>
      <c r="C303" s="87"/>
      <c r="D303" s="87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87"/>
      <c r="C304" s="87"/>
      <c r="D304" s="87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87"/>
      <c r="C305" s="87"/>
      <c r="D305" s="87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87"/>
      <c r="C306" s="87"/>
      <c r="D306" s="87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87"/>
      <c r="C307" s="87"/>
      <c r="D307" s="8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87"/>
      <c r="C308" s="87"/>
      <c r="D308" s="8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87"/>
      <c r="C309" s="87"/>
      <c r="D309" s="8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87"/>
      <c r="C310" s="87"/>
      <c r="D310" s="87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87"/>
      <c r="C311" s="87"/>
      <c r="D311" s="87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87"/>
      <c r="C312" s="87"/>
      <c r="D312" s="87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87"/>
      <c r="C313" s="87"/>
      <c r="D313" s="87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87"/>
      <c r="C314" s="87"/>
      <c r="D314" s="87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87"/>
      <c r="C315" s="87"/>
      <c r="D315" s="87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87"/>
      <c r="C316" s="87"/>
      <c r="D316" s="8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87"/>
      <c r="C317" s="87"/>
      <c r="D317" s="8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87"/>
      <c r="C318" s="87"/>
      <c r="D318" s="8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87"/>
      <c r="C319" s="87"/>
      <c r="D319" s="8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87"/>
      <c r="C320" s="87"/>
      <c r="D320" s="8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87"/>
      <c r="C321" s="87"/>
      <c r="D321" s="8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87"/>
      <c r="C322" s="87"/>
      <c r="D322" s="8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87"/>
      <c r="C323" s="87"/>
      <c r="D323" s="8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87"/>
      <c r="C324" s="87"/>
      <c r="D324" s="8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87"/>
      <c r="C325" s="87"/>
      <c r="D325" s="8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87"/>
      <c r="C326" s="87"/>
      <c r="D326" s="8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87"/>
      <c r="C327" s="87"/>
      <c r="D327" s="8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87"/>
      <c r="C328" s="87"/>
      <c r="D328" s="8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87"/>
      <c r="C329" s="87"/>
      <c r="D329" s="8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87"/>
      <c r="C330" s="87"/>
      <c r="D330" s="8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87"/>
      <c r="C331" s="87"/>
      <c r="D331" s="8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87"/>
      <c r="C332" s="87"/>
      <c r="D332" s="8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87"/>
      <c r="C333" s="87"/>
      <c r="D333" s="8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87"/>
      <c r="C334" s="87"/>
      <c r="D334" s="8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87"/>
      <c r="C335" s="87"/>
      <c r="D335" s="8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87"/>
      <c r="C336" s="87"/>
      <c r="D336" s="8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87"/>
      <c r="C337" s="87"/>
      <c r="D337" s="8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87"/>
      <c r="C338" s="87"/>
      <c r="D338" s="8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87"/>
      <c r="C339" s="87"/>
      <c r="D339" s="8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87"/>
      <c r="C340" s="87"/>
      <c r="D340" s="8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87"/>
      <c r="C341" s="87"/>
      <c r="D341" s="8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87"/>
      <c r="C342" s="87"/>
      <c r="D342" s="8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87"/>
      <c r="C343" s="87"/>
      <c r="D343" s="8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87"/>
      <c r="C344" s="87"/>
      <c r="D344" s="8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87"/>
      <c r="C345" s="87"/>
      <c r="D345" s="8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87"/>
      <c r="C346" s="87"/>
      <c r="D346" s="8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87"/>
      <c r="C347" s="87"/>
      <c r="D347" s="8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87"/>
      <c r="C348" s="87"/>
      <c r="D348" s="8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87"/>
      <c r="C349" s="87"/>
      <c r="D349" s="8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87"/>
      <c r="C350" s="87"/>
      <c r="D350" s="8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87"/>
      <c r="C351" s="87"/>
      <c r="D351" s="8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87"/>
      <c r="C352" s="87"/>
      <c r="D352" s="8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87"/>
      <c r="C353" s="87"/>
      <c r="D353" s="8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87"/>
      <c r="C354" s="87"/>
      <c r="D354" s="8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87"/>
      <c r="C355" s="87"/>
      <c r="D355" s="8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87"/>
      <c r="C356" s="87"/>
      <c r="D356" s="8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87"/>
      <c r="C357" s="87"/>
      <c r="D357" s="8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87"/>
      <c r="C358" s="87"/>
      <c r="D358" s="8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87"/>
      <c r="C359" s="87"/>
      <c r="D359" s="8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87"/>
      <c r="C360" s="87"/>
      <c r="D360" s="8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87"/>
      <c r="C361" s="87"/>
      <c r="D361" s="8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87"/>
      <c r="C362" s="87"/>
      <c r="D362" s="8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87"/>
      <c r="C363" s="87"/>
      <c r="D363" s="8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87"/>
      <c r="C364" s="87"/>
      <c r="D364" s="8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87"/>
      <c r="C365" s="87"/>
      <c r="D365" s="8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87"/>
      <c r="C366" s="87"/>
      <c r="D366" s="8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87"/>
      <c r="C367" s="87"/>
      <c r="D367" s="8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87"/>
      <c r="C368" s="87"/>
      <c r="D368" s="8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87"/>
      <c r="C369" s="87"/>
      <c r="D369" s="8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87"/>
      <c r="C370" s="87"/>
      <c r="D370" s="8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87"/>
      <c r="C371" s="87"/>
      <c r="D371" s="8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87"/>
      <c r="C372" s="87"/>
      <c r="D372" s="8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87"/>
      <c r="C373" s="87"/>
      <c r="D373" s="8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87"/>
      <c r="C374" s="87"/>
      <c r="D374" s="8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87"/>
      <c r="C375" s="87"/>
      <c r="D375" s="8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87"/>
      <c r="C376" s="87"/>
      <c r="D376" s="8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87"/>
      <c r="C377" s="87"/>
      <c r="D377" s="8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87"/>
      <c r="C378" s="87"/>
      <c r="D378" s="8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87"/>
      <c r="C379" s="87"/>
      <c r="D379" s="8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87"/>
      <c r="C380" s="87"/>
      <c r="D380" s="8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87"/>
      <c r="C381" s="87"/>
      <c r="D381" s="8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87"/>
      <c r="C382" s="87"/>
      <c r="D382" s="8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87"/>
      <c r="C383" s="87"/>
      <c r="D383" s="8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87"/>
      <c r="C384" s="87"/>
      <c r="D384" s="8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87"/>
      <c r="C385" s="87"/>
      <c r="D385" s="8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87"/>
      <c r="C386" s="87"/>
      <c r="D386" s="8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87"/>
      <c r="C387" s="87"/>
      <c r="D387" s="8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87"/>
      <c r="C388" s="87"/>
      <c r="D388" s="8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87"/>
      <c r="C389" s="87"/>
      <c r="D389" s="8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87"/>
      <c r="C390" s="87"/>
      <c r="D390" s="8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87"/>
      <c r="C391" s="87"/>
      <c r="D391" s="8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87"/>
      <c r="C392" s="87"/>
      <c r="D392" s="8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87"/>
      <c r="C393" s="87"/>
      <c r="D393" s="8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87"/>
      <c r="C394" s="87"/>
      <c r="D394" s="8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87"/>
      <c r="C395" s="87"/>
      <c r="D395" s="8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87"/>
      <c r="C396" s="87"/>
      <c r="D396" s="8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87"/>
      <c r="C397" s="87"/>
      <c r="D397" s="8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87"/>
      <c r="C398" s="87"/>
      <c r="D398" s="8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87"/>
      <c r="C399" s="87"/>
      <c r="D399" s="8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87"/>
      <c r="C400" s="87"/>
      <c r="D400" s="8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87"/>
      <c r="C401" s="87"/>
      <c r="D401" s="8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87"/>
      <c r="C402" s="87"/>
      <c r="D402" s="8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87"/>
      <c r="C403" s="87"/>
      <c r="D403" s="8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87"/>
      <c r="C404" s="87"/>
      <c r="D404" s="8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87"/>
      <c r="C405" s="87"/>
      <c r="D405" s="8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87"/>
      <c r="C406" s="87"/>
      <c r="D406" s="8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87"/>
      <c r="C407" s="87"/>
      <c r="D407" s="8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87"/>
      <c r="C408" s="87"/>
      <c r="D408" s="8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87"/>
      <c r="C409" s="87"/>
      <c r="D409" s="8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87"/>
      <c r="C410" s="87"/>
      <c r="D410" s="8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87"/>
      <c r="C411" s="87"/>
      <c r="D411" s="8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87"/>
      <c r="C412" s="87"/>
      <c r="D412" s="8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87"/>
      <c r="C413" s="87"/>
      <c r="D413" s="8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87"/>
      <c r="C414" s="87"/>
      <c r="D414" s="8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87"/>
      <c r="C415" s="87"/>
      <c r="D415" s="8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87"/>
      <c r="C416" s="87"/>
      <c r="D416" s="8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87"/>
      <c r="C417" s="87"/>
      <c r="D417" s="8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87"/>
      <c r="C418" s="87"/>
      <c r="D418" s="8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87"/>
      <c r="C419" s="87"/>
      <c r="D419" s="8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87"/>
      <c r="C420" s="87"/>
      <c r="D420" s="8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87"/>
      <c r="C421" s="87"/>
      <c r="D421" s="8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87"/>
      <c r="C422" s="87"/>
      <c r="D422" s="8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87"/>
      <c r="C423" s="87"/>
      <c r="D423" s="8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87"/>
      <c r="C424" s="87"/>
      <c r="D424" s="8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87"/>
      <c r="C425" s="87"/>
      <c r="D425" s="8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87"/>
      <c r="C426" s="87"/>
      <c r="D426" s="8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87"/>
      <c r="C427" s="87"/>
      <c r="D427" s="8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87"/>
      <c r="C428" s="87"/>
      <c r="D428" s="8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87"/>
      <c r="C429" s="87"/>
      <c r="D429" s="8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87"/>
      <c r="C430" s="87"/>
      <c r="D430" s="8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87"/>
      <c r="C431" s="87"/>
      <c r="D431" s="8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87"/>
      <c r="C432" s="87"/>
      <c r="D432" s="8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87"/>
      <c r="C433" s="87"/>
      <c r="D433" s="8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87"/>
      <c r="C434" s="87"/>
      <c r="D434" s="8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87"/>
      <c r="C435" s="87"/>
      <c r="D435" s="8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87"/>
      <c r="C436" s="87"/>
      <c r="D436" s="8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87"/>
      <c r="C437" s="87"/>
      <c r="D437" s="8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87"/>
      <c r="C438" s="87"/>
      <c r="D438" s="8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87"/>
      <c r="C439" s="87"/>
      <c r="D439" s="8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87"/>
      <c r="C440" s="87"/>
      <c r="D440" s="8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87"/>
      <c r="C441" s="87"/>
      <c r="D441" s="8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87"/>
      <c r="C442" s="87"/>
      <c r="D442" s="8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87"/>
      <c r="C443" s="87"/>
      <c r="D443" s="8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87"/>
      <c r="C444" s="87"/>
      <c r="D444" s="8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87"/>
      <c r="C445" s="87"/>
      <c r="D445" s="8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87"/>
      <c r="C446" s="87"/>
      <c r="D446" s="8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87"/>
      <c r="C447" s="87"/>
      <c r="D447" s="8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87"/>
      <c r="C448" s="87"/>
      <c r="D448" s="8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87"/>
      <c r="C449" s="87"/>
      <c r="D449" s="8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87"/>
      <c r="C450" s="87"/>
      <c r="D450" s="8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87"/>
      <c r="C451" s="87"/>
      <c r="D451" s="8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87"/>
      <c r="C452" s="87"/>
      <c r="D452" s="8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87"/>
      <c r="C453" s="87"/>
      <c r="D453" s="8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87"/>
      <c r="C454" s="87"/>
      <c r="D454" s="8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87"/>
      <c r="C455" s="87"/>
      <c r="D455" s="8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87"/>
      <c r="C456" s="87"/>
      <c r="D456" s="8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87"/>
      <c r="C457" s="87"/>
      <c r="D457" s="8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87"/>
      <c r="C458" s="87"/>
      <c r="D458" s="8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87"/>
      <c r="C459" s="87"/>
      <c r="D459" s="8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87"/>
      <c r="C460" s="87"/>
      <c r="D460" s="8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87"/>
      <c r="C461" s="87"/>
      <c r="D461" s="8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87"/>
      <c r="C462" s="87"/>
      <c r="D462" s="8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87"/>
      <c r="C463" s="87"/>
      <c r="D463" s="8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87"/>
      <c r="C464" s="87"/>
      <c r="D464" s="8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87"/>
      <c r="C465" s="87"/>
      <c r="D465" s="8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87"/>
      <c r="C466" s="87"/>
      <c r="D466" s="8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87"/>
      <c r="C467" s="87"/>
      <c r="D467" s="8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87"/>
      <c r="C468" s="87"/>
      <c r="D468" s="87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87"/>
      <c r="C469" s="87"/>
      <c r="D469" s="87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87"/>
      <c r="C470" s="87"/>
      <c r="D470" s="87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87"/>
      <c r="C471" s="87"/>
      <c r="D471" s="87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87"/>
      <c r="C472" s="87"/>
      <c r="D472" s="87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87"/>
      <c r="C473" s="87"/>
      <c r="D473" s="87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87"/>
      <c r="C474" s="87"/>
      <c r="D474" s="87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87"/>
      <c r="C475" s="87"/>
      <c r="D475" s="87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87"/>
      <c r="C476" s="87"/>
      <c r="D476" s="87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87"/>
      <c r="C477" s="87"/>
      <c r="D477" s="87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87"/>
      <c r="C478" s="87"/>
      <c r="D478" s="87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87"/>
      <c r="C479" s="87"/>
      <c r="D479" s="87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87"/>
      <c r="C480" s="87"/>
      <c r="D480" s="87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87"/>
      <c r="C481" s="87"/>
      <c r="D481" s="87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87"/>
      <c r="C482" s="87"/>
      <c r="D482" s="87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87"/>
      <c r="C483" s="87"/>
      <c r="D483" s="87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87"/>
      <c r="C484" s="87"/>
      <c r="D484" s="87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87"/>
      <c r="C485" s="87"/>
      <c r="D485" s="87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87"/>
      <c r="C486" s="87"/>
      <c r="D486" s="87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87"/>
      <c r="C487" s="87"/>
      <c r="D487" s="87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87"/>
      <c r="C488" s="87"/>
      <c r="D488" s="87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87"/>
      <c r="C489" s="87"/>
      <c r="D489" s="87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87"/>
      <c r="C490" s="87"/>
      <c r="D490" s="87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87"/>
      <c r="C491" s="87"/>
      <c r="D491" s="8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87"/>
      <c r="C492" s="87"/>
      <c r="D492" s="87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87"/>
      <c r="C493" s="87"/>
      <c r="D493" s="87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87"/>
      <c r="C494" s="87"/>
      <c r="D494" s="87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87"/>
      <c r="C495" s="87"/>
      <c r="D495" s="87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87"/>
      <c r="C496" s="87"/>
      <c r="D496" s="87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87"/>
      <c r="C497" s="87"/>
      <c r="D497" s="87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87"/>
      <c r="C498" s="87"/>
      <c r="D498" s="87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87"/>
      <c r="C499" s="87"/>
      <c r="D499" s="87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87"/>
      <c r="C500" s="87"/>
      <c r="D500" s="87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87"/>
      <c r="C501" s="87"/>
      <c r="D501" s="87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87"/>
      <c r="C502" s="87"/>
      <c r="D502" s="87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87"/>
      <c r="C503" s="87"/>
      <c r="D503" s="87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87"/>
      <c r="C504" s="87"/>
      <c r="D504" s="87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87"/>
      <c r="C505" s="87"/>
      <c r="D505" s="87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87"/>
      <c r="C506" s="87"/>
      <c r="D506" s="87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87"/>
      <c r="C507" s="87"/>
      <c r="D507" s="87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87"/>
      <c r="C508" s="87"/>
      <c r="D508" s="87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87"/>
      <c r="C509" s="87"/>
      <c r="D509" s="87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87"/>
      <c r="C510" s="87"/>
      <c r="D510" s="87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87"/>
      <c r="C511" s="87"/>
      <c r="D511" s="87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87"/>
      <c r="C512" s="87"/>
      <c r="D512" s="87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87"/>
      <c r="C513" s="87"/>
      <c r="D513" s="87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87"/>
      <c r="C514" s="87"/>
      <c r="D514" s="87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87"/>
      <c r="C515" s="87"/>
      <c r="D515" s="87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87"/>
      <c r="C516" s="87"/>
      <c r="D516" s="87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87"/>
      <c r="C517" s="87"/>
      <c r="D517" s="87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87"/>
      <c r="C518" s="87"/>
      <c r="D518" s="87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87"/>
      <c r="C519" s="87"/>
      <c r="D519" s="87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87"/>
      <c r="C520" s="87"/>
      <c r="D520" s="87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87"/>
      <c r="C521" s="87"/>
      <c r="D521" s="87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87"/>
      <c r="C522" s="87"/>
      <c r="D522" s="87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87"/>
      <c r="C523" s="87"/>
      <c r="D523" s="87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87"/>
      <c r="C524" s="87"/>
      <c r="D524" s="87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87"/>
      <c r="C525" s="87"/>
      <c r="D525" s="87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87"/>
      <c r="C526" s="87"/>
      <c r="D526" s="87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87"/>
      <c r="C527" s="87"/>
      <c r="D527" s="87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87"/>
      <c r="C528" s="87"/>
      <c r="D528" s="8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87"/>
      <c r="C529" s="87"/>
      <c r="D529" s="8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87"/>
      <c r="C530" s="87"/>
      <c r="D530" s="87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87"/>
      <c r="C531" s="87"/>
      <c r="D531" s="87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87"/>
      <c r="C532" s="87"/>
      <c r="D532" s="87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87"/>
      <c r="C533" s="87"/>
      <c r="D533" s="87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87"/>
      <c r="C534" s="87"/>
      <c r="D534" s="87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87"/>
      <c r="C535" s="87"/>
      <c r="D535" s="87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87"/>
      <c r="C536" s="87"/>
      <c r="D536" s="87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87"/>
      <c r="C537" s="87"/>
      <c r="D537" s="8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87"/>
      <c r="C538" s="87"/>
      <c r="D538" s="8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87"/>
      <c r="C539" s="87"/>
      <c r="D539" s="8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87"/>
      <c r="C540" s="87"/>
      <c r="D540" s="87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87"/>
      <c r="C541" s="87"/>
      <c r="D541" s="87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87"/>
      <c r="C542" s="87"/>
      <c r="D542" s="87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87"/>
      <c r="C543" s="87"/>
      <c r="D543" s="87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87"/>
      <c r="C544" s="87"/>
      <c r="D544" s="87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87"/>
      <c r="C545" s="87"/>
      <c r="D545" s="8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87"/>
      <c r="C546" s="87"/>
      <c r="D546" s="8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87"/>
      <c r="C547" s="87"/>
      <c r="D547" s="8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87"/>
      <c r="C548" s="87"/>
      <c r="D548" s="8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87"/>
      <c r="C549" s="87"/>
      <c r="D549" s="8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87"/>
      <c r="C550" s="87"/>
      <c r="D550" s="87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87"/>
      <c r="C551" s="87"/>
      <c r="D551" s="87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87"/>
      <c r="C552" s="87"/>
      <c r="D552" s="87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87"/>
      <c r="C553" s="87"/>
      <c r="D553" s="87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87"/>
      <c r="C554" s="87"/>
      <c r="D554" s="8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87"/>
      <c r="C555" s="87"/>
      <c r="D555" s="8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87"/>
      <c r="C556" s="87"/>
      <c r="D556" s="8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87"/>
      <c r="C557" s="87"/>
      <c r="D557" s="8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87"/>
      <c r="C558" s="87"/>
      <c r="D558" s="87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87"/>
      <c r="C559" s="87"/>
      <c r="D559" s="87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87"/>
      <c r="C560" s="87"/>
      <c r="D560" s="87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87"/>
      <c r="C561" s="87"/>
      <c r="D561" s="87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87"/>
      <c r="C562" s="87"/>
      <c r="D562" s="87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87"/>
      <c r="C563" s="87"/>
      <c r="D563" s="8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87"/>
      <c r="C564" s="87"/>
      <c r="D564" s="8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87"/>
      <c r="C565" s="87"/>
      <c r="D565" s="87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87"/>
      <c r="C566" s="87"/>
      <c r="D566" s="87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87"/>
      <c r="C567" s="87"/>
      <c r="D567" s="87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87"/>
      <c r="C568" s="87"/>
      <c r="D568" s="87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87"/>
      <c r="C569" s="87"/>
      <c r="D569" s="87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87"/>
      <c r="C570" s="87"/>
      <c r="D570" s="87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87"/>
      <c r="C571" s="87"/>
      <c r="D571" s="87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87"/>
      <c r="C572" s="87"/>
      <c r="D572" s="87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87"/>
      <c r="C573" s="87"/>
      <c r="D573" s="87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87"/>
      <c r="C574" s="87"/>
      <c r="D574" s="87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87"/>
      <c r="C575" s="87"/>
      <c r="D575" s="87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87"/>
      <c r="C576" s="87"/>
      <c r="D576" s="87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87"/>
      <c r="C577" s="87"/>
      <c r="D577" s="87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87"/>
      <c r="C578" s="87"/>
      <c r="D578" s="87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87"/>
      <c r="C579" s="87"/>
      <c r="D579" s="87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87"/>
      <c r="C580" s="87"/>
      <c r="D580" s="87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87"/>
      <c r="C581" s="87"/>
      <c r="D581" s="87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87"/>
      <c r="C582" s="87"/>
      <c r="D582" s="87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87"/>
      <c r="C583" s="87"/>
      <c r="D583" s="87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87"/>
      <c r="C584" s="87"/>
      <c r="D584" s="87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87"/>
      <c r="C585" s="87"/>
      <c r="D585" s="8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87"/>
      <c r="C586" s="87"/>
      <c r="D586" s="8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87"/>
      <c r="C587" s="87"/>
      <c r="D587" s="87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87"/>
      <c r="C588" s="87"/>
      <c r="D588" s="87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87"/>
      <c r="C589" s="87"/>
      <c r="D589" s="87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87"/>
      <c r="C590" s="87"/>
      <c r="D590" s="87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87"/>
      <c r="C591" s="87"/>
      <c r="D591" s="8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87"/>
      <c r="C592" s="87"/>
      <c r="D592" s="87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87"/>
      <c r="C593" s="87"/>
      <c r="D593" s="87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87"/>
      <c r="C594" s="87"/>
      <c r="D594" s="87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87"/>
      <c r="C595" s="87"/>
      <c r="D595" s="87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87"/>
      <c r="C596" s="87"/>
      <c r="D596" s="87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87"/>
      <c r="C597" s="87"/>
      <c r="D597" s="8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87"/>
      <c r="C598" s="87"/>
      <c r="D598" s="87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87"/>
      <c r="C599" s="87"/>
      <c r="D599" s="87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87"/>
      <c r="C600" s="87"/>
      <c r="D600" s="8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87"/>
      <c r="C601" s="87"/>
      <c r="D601" s="87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87"/>
      <c r="C602" s="87"/>
      <c r="D602" s="8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87"/>
      <c r="C603" s="87"/>
      <c r="D603" s="87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87"/>
      <c r="C604" s="87"/>
      <c r="D604" s="8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87"/>
      <c r="C605" s="87"/>
      <c r="D605" s="87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87"/>
      <c r="C606" s="87"/>
      <c r="D606" s="8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87"/>
      <c r="C607" s="87"/>
      <c r="D607" s="8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87"/>
      <c r="C608" s="87"/>
      <c r="D608" s="87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87"/>
      <c r="C609" s="87"/>
      <c r="D609" s="87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87"/>
      <c r="C610" s="87"/>
      <c r="D610" s="8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87"/>
      <c r="C611" s="87"/>
      <c r="D611" s="8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87"/>
      <c r="C612" s="87"/>
      <c r="D612" s="8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87"/>
      <c r="C613" s="87"/>
      <c r="D613" s="8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87"/>
      <c r="C614" s="87"/>
      <c r="D614" s="8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87"/>
      <c r="C615" s="87"/>
      <c r="D615" s="8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87"/>
      <c r="C616" s="87"/>
      <c r="D616" s="8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87"/>
      <c r="C617" s="87"/>
      <c r="D617" s="87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87"/>
      <c r="C618" s="87"/>
      <c r="D618" s="8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87"/>
      <c r="C619" s="87"/>
      <c r="D619" s="87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87"/>
      <c r="C620" s="87"/>
      <c r="D620" s="87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87"/>
      <c r="C621" s="87"/>
      <c r="D621" s="87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87"/>
      <c r="C622" s="87"/>
      <c r="D622" s="87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87"/>
      <c r="C623" s="87"/>
      <c r="D623" s="87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87"/>
      <c r="C624" s="87"/>
      <c r="D624" s="87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87"/>
      <c r="C625" s="87"/>
      <c r="D625" s="8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87"/>
      <c r="C626" s="87"/>
      <c r="D626" s="8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87"/>
      <c r="C627" s="87"/>
      <c r="D627" s="87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87"/>
      <c r="C628" s="87"/>
      <c r="D628" s="87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87"/>
      <c r="C629" s="87"/>
      <c r="D629" s="87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87"/>
      <c r="C630" s="87"/>
      <c r="D630" s="87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87"/>
      <c r="C631" s="87"/>
      <c r="D631" s="87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87"/>
      <c r="C632" s="87"/>
      <c r="D632" s="87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87"/>
      <c r="C633" s="87"/>
      <c r="D633" s="87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87"/>
      <c r="C634" s="87"/>
      <c r="D634" s="87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87"/>
      <c r="C635" s="87"/>
      <c r="D635" s="87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87"/>
      <c r="C636" s="87"/>
      <c r="D636" s="87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87"/>
      <c r="C637" s="87"/>
      <c r="D637" s="8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87"/>
      <c r="C638" s="87"/>
      <c r="D638" s="8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87"/>
      <c r="C639" s="87"/>
      <c r="D639" s="87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87"/>
      <c r="C640" s="87"/>
      <c r="D640" s="87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87"/>
      <c r="C641" s="87"/>
      <c r="D641" s="87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87"/>
      <c r="C642" s="87"/>
      <c r="D642" s="87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87"/>
      <c r="C643" s="87"/>
      <c r="D643" s="87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87"/>
      <c r="C644" s="87"/>
      <c r="D644" s="87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87"/>
      <c r="C645" s="87"/>
      <c r="D645" s="87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87"/>
      <c r="C646" s="87"/>
      <c r="D646" s="87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87"/>
      <c r="C647" s="87"/>
      <c r="D647" s="87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87"/>
      <c r="C648" s="87"/>
      <c r="D648" s="87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87"/>
      <c r="C649" s="87"/>
      <c r="D649" s="87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87"/>
      <c r="C650" s="87"/>
      <c r="D650" s="87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87"/>
      <c r="C651" s="87"/>
      <c r="D651" s="87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87"/>
      <c r="C652" s="87"/>
      <c r="D652" s="87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87"/>
      <c r="C653" s="87"/>
      <c r="D653" s="87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87"/>
      <c r="C654" s="87"/>
      <c r="D654" s="87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87"/>
      <c r="C655" s="87"/>
      <c r="D655" s="87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87"/>
      <c r="C656" s="87"/>
      <c r="D656" s="87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87"/>
      <c r="C657" s="87"/>
      <c r="D657" s="8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87"/>
      <c r="C658" s="87"/>
      <c r="D658" s="87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87"/>
      <c r="C659" s="87"/>
      <c r="D659" s="8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87"/>
      <c r="C660" s="87"/>
      <c r="D660" s="87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87"/>
      <c r="C661" s="87"/>
      <c r="D661" s="87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87"/>
      <c r="C662" s="87"/>
      <c r="D662" s="87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87"/>
      <c r="C663" s="87"/>
      <c r="D663" s="87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87"/>
      <c r="C664" s="87"/>
      <c r="D664" s="87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87"/>
      <c r="C665" s="87"/>
      <c r="D665" s="87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87"/>
      <c r="C666" s="87"/>
      <c r="D666" s="87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87"/>
      <c r="C667" s="87"/>
      <c r="D667" s="87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87"/>
      <c r="C668" s="87"/>
      <c r="D668" s="87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87"/>
      <c r="C669" s="87"/>
      <c r="D669" s="87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87"/>
      <c r="C670" s="87"/>
      <c r="D670" s="87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87"/>
      <c r="C671" s="87"/>
      <c r="D671" s="87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87"/>
      <c r="C672" s="87"/>
      <c r="D672" s="87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87"/>
      <c r="C673" s="87"/>
      <c r="D673" s="87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87"/>
      <c r="C674" s="87"/>
      <c r="D674" s="87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87"/>
      <c r="C675" s="87"/>
      <c r="D675" s="87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87"/>
      <c r="C676" s="87"/>
      <c r="D676" s="8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87"/>
      <c r="C677" s="87"/>
      <c r="D677" s="8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87"/>
      <c r="C678" s="87"/>
      <c r="D678" s="8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87"/>
      <c r="C679" s="87"/>
      <c r="D679" s="8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87"/>
      <c r="C680" s="87"/>
      <c r="D680" s="87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87"/>
      <c r="C681" s="87"/>
      <c r="D681" s="87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87"/>
      <c r="C682" s="87"/>
      <c r="D682" s="87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87"/>
      <c r="C683" s="87"/>
      <c r="D683" s="87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87"/>
      <c r="C684" s="87"/>
      <c r="D684" s="87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87"/>
      <c r="C685" s="87"/>
      <c r="D685" s="87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87"/>
      <c r="C686" s="87"/>
      <c r="D686" s="87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87"/>
      <c r="C687" s="87"/>
      <c r="D687" s="87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87"/>
      <c r="C688" s="87"/>
      <c r="D688" s="87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87"/>
      <c r="C689" s="87"/>
      <c r="D689" s="87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87"/>
      <c r="C690" s="87"/>
      <c r="D690" s="87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87"/>
      <c r="C691" s="87"/>
      <c r="D691" s="87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87"/>
      <c r="C692" s="87"/>
      <c r="D692" s="87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87"/>
      <c r="C693" s="87"/>
      <c r="D693" s="87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87"/>
      <c r="C694" s="87"/>
      <c r="D694" s="87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87"/>
      <c r="C695" s="87"/>
      <c r="D695" s="87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87"/>
      <c r="C696" s="87"/>
      <c r="D696" s="87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87"/>
      <c r="C697" s="87"/>
      <c r="D697" s="87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87"/>
      <c r="C698" s="87"/>
      <c r="D698" s="87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87"/>
      <c r="C699" s="87"/>
      <c r="D699" s="87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87"/>
      <c r="C700" s="87"/>
      <c r="D700" s="87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87"/>
      <c r="C701" s="87"/>
      <c r="D701" s="87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87"/>
      <c r="C702" s="87"/>
      <c r="D702" s="87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87"/>
      <c r="C703" s="87"/>
      <c r="D703" s="87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87"/>
      <c r="C704" s="87"/>
      <c r="D704" s="87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87"/>
      <c r="C705" s="87"/>
      <c r="D705" s="87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87"/>
      <c r="C706" s="87"/>
      <c r="D706" s="87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87"/>
      <c r="C707" s="87"/>
      <c r="D707" s="87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87"/>
      <c r="C708" s="87"/>
      <c r="D708" s="87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87"/>
      <c r="C709" s="87"/>
      <c r="D709" s="87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87"/>
      <c r="C710" s="87"/>
      <c r="D710" s="87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87"/>
      <c r="C711" s="87"/>
      <c r="D711" s="87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87"/>
      <c r="C712" s="87"/>
      <c r="D712" s="87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87"/>
      <c r="C713" s="87"/>
      <c r="D713" s="87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87"/>
      <c r="C714" s="87"/>
      <c r="D714" s="87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87"/>
      <c r="C715" s="87"/>
      <c r="D715" s="87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87"/>
      <c r="C716" s="87"/>
      <c r="D716" s="87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87"/>
      <c r="C717" s="87"/>
      <c r="D717" s="87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87"/>
      <c r="C718" s="87"/>
      <c r="D718" s="87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87"/>
      <c r="C719" s="87"/>
      <c r="D719" s="87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87"/>
      <c r="C720" s="87"/>
      <c r="D720" s="87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87"/>
      <c r="C721" s="87"/>
      <c r="D721" s="87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87"/>
      <c r="C722" s="87"/>
      <c r="D722" s="87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87"/>
      <c r="C723" s="87"/>
      <c r="D723" s="87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87"/>
      <c r="C724" s="87"/>
      <c r="D724" s="87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87"/>
      <c r="C725" s="87"/>
      <c r="D725" s="87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87"/>
      <c r="C726" s="87"/>
      <c r="D726" s="8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87"/>
      <c r="C727" s="87"/>
      <c r="D727" s="87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87"/>
      <c r="C728" s="87"/>
      <c r="D728" s="87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87"/>
      <c r="C729" s="87"/>
      <c r="D729" s="87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87"/>
      <c r="C730" s="87"/>
      <c r="D730" s="8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87"/>
      <c r="C731" s="87"/>
      <c r="D731" s="87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87"/>
      <c r="C732" s="87"/>
      <c r="D732" s="87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87"/>
      <c r="C733" s="87"/>
      <c r="D733" s="87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87"/>
      <c r="C734" s="87"/>
      <c r="D734" s="87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87"/>
      <c r="C735" s="87"/>
      <c r="D735" s="87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87"/>
      <c r="C736" s="87"/>
      <c r="D736" s="87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87"/>
      <c r="C737" s="87"/>
      <c r="D737" s="87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87"/>
      <c r="C738" s="87"/>
      <c r="D738" s="87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87"/>
      <c r="C739" s="87"/>
      <c r="D739" s="87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87"/>
      <c r="C740" s="87"/>
      <c r="D740" s="87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87"/>
      <c r="C741" s="87"/>
      <c r="D741" s="87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87"/>
      <c r="C742" s="87"/>
      <c r="D742" s="87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87"/>
      <c r="C743" s="87"/>
      <c r="D743" s="87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87"/>
      <c r="C744" s="87"/>
      <c r="D744" s="87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87"/>
      <c r="C745" s="87"/>
      <c r="D745" s="87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87"/>
      <c r="C746" s="87"/>
      <c r="D746" s="87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87"/>
      <c r="C747" s="87"/>
      <c r="D747" s="87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87"/>
      <c r="C748" s="87"/>
      <c r="D748" s="87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87"/>
      <c r="C749" s="87"/>
      <c r="D749" s="87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87"/>
      <c r="C750" s="87"/>
      <c r="D750" s="87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87"/>
      <c r="C751" s="87"/>
      <c r="D751" s="87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87"/>
      <c r="C752" s="87"/>
      <c r="D752" s="87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87"/>
      <c r="C753" s="87"/>
      <c r="D753" s="87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87"/>
      <c r="C754" s="87"/>
      <c r="D754" s="8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87"/>
      <c r="C755" s="87"/>
      <c r="D755" s="8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87"/>
      <c r="C756" s="87"/>
      <c r="D756" s="8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87"/>
      <c r="C757" s="87"/>
      <c r="D757" s="87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87"/>
      <c r="C758" s="87"/>
      <c r="D758" s="87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87"/>
      <c r="C759" s="87"/>
      <c r="D759" s="87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87"/>
      <c r="C760" s="87"/>
      <c r="D760" s="87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87"/>
      <c r="C761" s="87"/>
      <c r="D761" s="87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87"/>
      <c r="C762" s="87"/>
      <c r="D762" s="87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87"/>
      <c r="C763" s="87"/>
      <c r="D763" s="87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87"/>
      <c r="C764" s="87"/>
      <c r="D764" s="87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87"/>
      <c r="C765" s="87"/>
      <c r="D765" s="87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87"/>
      <c r="C766" s="87"/>
      <c r="D766" s="87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87"/>
      <c r="C767" s="87"/>
      <c r="D767" s="87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87"/>
      <c r="C768" s="87"/>
      <c r="D768" s="87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87"/>
      <c r="C769" s="87"/>
      <c r="D769" s="87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87"/>
      <c r="C770" s="87"/>
      <c r="D770" s="87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87"/>
      <c r="C771" s="87"/>
      <c r="D771" s="87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87"/>
      <c r="C772" s="87"/>
      <c r="D772" s="87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87"/>
      <c r="C773" s="87"/>
      <c r="D773" s="87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87"/>
      <c r="C774" s="87"/>
      <c r="D774" s="87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87"/>
      <c r="C775" s="87"/>
      <c r="D775" s="87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87"/>
      <c r="C776" s="87"/>
      <c r="D776" s="87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87"/>
      <c r="C777" s="87"/>
      <c r="D777" s="87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87"/>
      <c r="C778" s="87"/>
      <c r="D778" s="87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87"/>
      <c r="C779" s="87"/>
      <c r="D779" s="87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87"/>
      <c r="C780" s="87"/>
      <c r="D780" s="8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87"/>
      <c r="C781" s="87"/>
      <c r="D781" s="87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87"/>
      <c r="C782" s="87"/>
      <c r="D782" s="87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87"/>
      <c r="C783" s="87"/>
      <c r="D783" s="87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87"/>
      <c r="C784" s="87"/>
      <c r="D784" s="8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87"/>
      <c r="C785" s="87"/>
      <c r="D785" s="87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87"/>
      <c r="C786" s="87"/>
      <c r="D786" s="87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87"/>
      <c r="C787" s="87"/>
      <c r="D787" s="87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87"/>
      <c r="C788" s="87"/>
      <c r="D788" s="87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87"/>
      <c r="C789" s="87"/>
      <c r="D789" s="87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87"/>
      <c r="C790" s="87"/>
      <c r="D790" s="87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87"/>
      <c r="C791" s="87"/>
      <c r="D791" s="87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87"/>
      <c r="C792" s="87"/>
      <c r="D792" s="87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87"/>
      <c r="C793" s="87"/>
      <c r="D793" s="87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87"/>
      <c r="C794" s="87"/>
      <c r="D794" s="87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87"/>
      <c r="C795" s="87"/>
      <c r="D795" s="87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87"/>
      <c r="C796" s="87"/>
      <c r="D796" s="87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87"/>
      <c r="C797" s="87"/>
      <c r="D797" s="87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87"/>
      <c r="C798" s="87"/>
      <c r="D798" s="87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87"/>
      <c r="C799" s="87"/>
      <c r="D799" s="87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87"/>
      <c r="C800" s="87"/>
      <c r="D800" s="87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87"/>
      <c r="C801" s="87"/>
      <c r="D801" s="87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87"/>
      <c r="C802" s="87"/>
      <c r="D802" s="87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87"/>
      <c r="C803" s="87"/>
      <c r="D803" s="87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87"/>
      <c r="C804" s="87"/>
      <c r="D804" s="87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87"/>
      <c r="C805" s="87"/>
      <c r="D805" s="87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87"/>
      <c r="C806" s="87"/>
      <c r="D806" s="8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87"/>
      <c r="C807" s="87"/>
      <c r="D807" s="8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87"/>
      <c r="C808" s="87"/>
      <c r="D808" s="8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87"/>
      <c r="C809" s="87"/>
      <c r="D809" s="8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87"/>
      <c r="C810" s="87"/>
      <c r="D810" s="8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87"/>
      <c r="C811" s="87"/>
      <c r="D811" s="8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87"/>
      <c r="C812" s="87"/>
      <c r="D812" s="8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87"/>
      <c r="C813" s="87"/>
      <c r="D813" s="8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87"/>
      <c r="C814" s="87"/>
      <c r="D814" s="8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87"/>
      <c r="C815" s="87"/>
      <c r="D815" s="87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87"/>
      <c r="C816" s="87"/>
      <c r="D816" s="87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87"/>
      <c r="C817" s="87"/>
      <c r="D817" s="87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87"/>
      <c r="C818" s="87"/>
      <c r="D818" s="8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87"/>
      <c r="C819" s="87"/>
      <c r="D819" s="8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87"/>
      <c r="C820" s="87"/>
      <c r="D820" s="87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87"/>
      <c r="C821" s="87"/>
      <c r="D821" s="8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87"/>
      <c r="C822" s="87"/>
      <c r="D822" s="8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87"/>
      <c r="C823" s="87"/>
      <c r="D823" s="8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87"/>
      <c r="C824" s="87"/>
      <c r="D824" s="8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87"/>
      <c r="C825" s="87"/>
      <c r="D825" s="8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87"/>
      <c r="C826" s="87"/>
      <c r="D826" s="8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87"/>
      <c r="C827" s="87"/>
      <c r="D827" s="8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87"/>
      <c r="C828" s="87"/>
      <c r="D828" s="8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87"/>
      <c r="C829" s="87"/>
      <c r="D829" s="87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87"/>
      <c r="C830" s="87"/>
      <c r="D830" s="8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87"/>
      <c r="C831" s="87"/>
      <c r="D831" s="8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87"/>
      <c r="C832" s="87"/>
      <c r="D832" s="8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87"/>
      <c r="C833" s="87"/>
      <c r="D833" s="8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87"/>
      <c r="C834" s="87"/>
      <c r="D834" s="8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87"/>
      <c r="C835" s="87"/>
      <c r="D835" s="8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87"/>
      <c r="C836" s="87"/>
      <c r="D836" s="8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87"/>
      <c r="C837" s="87"/>
      <c r="D837" s="8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87"/>
      <c r="C838" s="87"/>
      <c r="D838" s="8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87"/>
      <c r="C839" s="87"/>
      <c r="D839" s="8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87"/>
      <c r="C840" s="87"/>
      <c r="D840" s="8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87"/>
      <c r="C841" s="87"/>
      <c r="D841" s="8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87"/>
      <c r="C842" s="87"/>
      <c r="D842" s="8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87"/>
      <c r="C843" s="87"/>
      <c r="D843" s="8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87"/>
      <c r="C844" s="87"/>
      <c r="D844" s="8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87"/>
      <c r="C845" s="87"/>
      <c r="D845" s="8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87"/>
      <c r="C846" s="87"/>
      <c r="D846" s="8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87"/>
      <c r="C847" s="87"/>
      <c r="D847" s="8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87"/>
      <c r="C848" s="87"/>
      <c r="D848" s="8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87"/>
      <c r="C849" s="87"/>
      <c r="D849" s="8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87"/>
      <c r="C850" s="87"/>
      <c r="D850" s="8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87"/>
      <c r="C851" s="87"/>
      <c r="D851" s="8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87"/>
      <c r="C852" s="87"/>
      <c r="D852" s="8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87"/>
      <c r="C853" s="87"/>
      <c r="D853" s="8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87"/>
      <c r="C854" s="87"/>
      <c r="D854" s="8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87"/>
      <c r="C855" s="87"/>
      <c r="D855" s="8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87"/>
      <c r="C856" s="87"/>
      <c r="D856" s="8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87"/>
      <c r="C857" s="87"/>
      <c r="D857" s="8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87"/>
      <c r="C858" s="87"/>
      <c r="D858" s="8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87"/>
      <c r="C859" s="87"/>
      <c r="D859" s="8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87"/>
      <c r="C860" s="87"/>
      <c r="D860" s="8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87"/>
      <c r="C861" s="87"/>
      <c r="D861" s="8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87"/>
      <c r="C862" s="87"/>
      <c r="D862" s="8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87"/>
      <c r="C863" s="87"/>
      <c r="D863" s="8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87"/>
      <c r="C864" s="87"/>
      <c r="D864" s="8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87"/>
      <c r="C865" s="87"/>
      <c r="D865" s="8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87"/>
      <c r="C866" s="87"/>
      <c r="D866" s="8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87"/>
      <c r="C867" s="87"/>
      <c r="D867" s="8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87"/>
      <c r="C868" s="87"/>
      <c r="D868" s="8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87"/>
      <c r="C869" s="87"/>
      <c r="D869" s="8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87"/>
      <c r="C870" s="87"/>
      <c r="D870" s="8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87"/>
      <c r="C871" s="87"/>
      <c r="D871" s="8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87"/>
      <c r="C872" s="87"/>
      <c r="D872" s="8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87"/>
      <c r="C873" s="87"/>
      <c r="D873" s="8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87"/>
      <c r="C874" s="87"/>
      <c r="D874" s="8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87"/>
      <c r="C875" s="87"/>
      <c r="D875" s="8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87"/>
      <c r="C876" s="87"/>
      <c r="D876" s="8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87"/>
      <c r="C877" s="87"/>
      <c r="D877" s="8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87"/>
      <c r="C878" s="87"/>
      <c r="D878" s="8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87"/>
      <c r="C879" s="87"/>
      <c r="D879" s="8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87"/>
      <c r="C880" s="87"/>
      <c r="D880" s="8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87"/>
      <c r="C881" s="87"/>
      <c r="D881" s="8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87"/>
      <c r="C882" s="87"/>
      <c r="D882" s="8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87"/>
      <c r="C883" s="87"/>
      <c r="D883" s="8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87"/>
      <c r="C884" s="87"/>
      <c r="D884" s="8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87"/>
      <c r="C885" s="87"/>
      <c r="D885" s="8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87"/>
      <c r="C886" s="87"/>
      <c r="D886" s="8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87"/>
      <c r="C887" s="87"/>
      <c r="D887" s="8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87"/>
      <c r="C888" s="87"/>
      <c r="D888" s="8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87"/>
      <c r="C889" s="87"/>
      <c r="D889" s="8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87"/>
      <c r="C890" s="87"/>
      <c r="D890" s="8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87"/>
      <c r="C891" s="87"/>
      <c r="D891" s="8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87"/>
      <c r="C892" s="87"/>
      <c r="D892" s="8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87"/>
      <c r="C893" s="87"/>
      <c r="D893" s="8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87"/>
      <c r="C894" s="87"/>
      <c r="D894" s="8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87"/>
      <c r="C895" s="87"/>
      <c r="D895" s="8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87"/>
      <c r="C896" s="87"/>
      <c r="D896" s="8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87"/>
      <c r="C897" s="87"/>
      <c r="D897" s="8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87"/>
      <c r="C898" s="87"/>
      <c r="D898" s="8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87"/>
      <c r="C899" s="87"/>
      <c r="D899" s="8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87"/>
      <c r="C900" s="87"/>
      <c r="D900" s="8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87"/>
      <c r="C901" s="87"/>
      <c r="D901" s="8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87"/>
      <c r="C902" s="87"/>
      <c r="D902" s="8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87"/>
      <c r="C903" s="87"/>
      <c r="D903" s="8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87"/>
      <c r="C904" s="87"/>
      <c r="D904" s="8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87"/>
      <c r="C905" s="87"/>
      <c r="D905" s="8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87"/>
      <c r="C906" s="87"/>
      <c r="D906" s="8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87"/>
      <c r="C907" s="87"/>
      <c r="D907" s="8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87"/>
      <c r="C908" s="87"/>
      <c r="D908" s="8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87"/>
      <c r="C909" s="87"/>
      <c r="D909" s="8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87"/>
      <c r="C910" s="87"/>
      <c r="D910" s="8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87"/>
      <c r="C911" s="87"/>
      <c r="D911" s="8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87"/>
      <c r="C912" s="87"/>
      <c r="D912" s="8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87"/>
      <c r="C913" s="87"/>
      <c r="D913" s="8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87"/>
      <c r="C914" s="87"/>
      <c r="D914" s="8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87"/>
      <c r="C915" s="87"/>
      <c r="D915" s="8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87"/>
      <c r="C916" s="87"/>
      <c r="D916" s="8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87"/>
      <c r="C917" s="87"/>
      <c r="D917" s="8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87"/>
      <c r="C918" s="87"/>
      <c r="D918" s="8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87"/>
      <c r="C919" s="87"/>
      <c r="D919" s="8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87"/>
      <c r="C920" s="87"/>
      <c r="D920" s="8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87"/>
      <c r="C921" s="87"/>
      <c r="D921" s="8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87"/>
      <c r="C922" s="87"/>
      <c r="D922" s="8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87"/>
      <c r="C923" s="87"/>
      <c r="D923" s="8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87"/>
      <c r="C924" s="87"/>
      <c r="D924" s="8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87"/>
      <c r="C925" s="87"/>
      <c r="D925" s="8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87"/>
      <c r="C926" s="87"/>
      <c r="D926" s="8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87"/>
      <c r="C927" s="87"/>
      <c r="D927" s="8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87"/>
      <c r="C928" s="87"/>
      <c r="D928" s="8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87"/>
      <c r="C929" s="87"/>
      <c r="D929" s="8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87"/>
      <c r="C930" s="87"/>
      <c r="D930" s="8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87"/>
      <c r="C931" s="87"/>
      <c r="D931" s="8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87"/>
      <c r="C932" s="87"/>
      <c r="D932" s="8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87"/>
      <c r="C933" s="87"/>
      <c r="D933" s="8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87"/>
      <c r="C934" s="87"/>
      <c r="D934" s="8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87"/>
      <c r="C935" s="87"/>
      <c r="D935" s="8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87"/>
      <c r="C936" s="87"/>
      <c r="D936" s="8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87"/>
      <c r="C937" s="87"/>
      <c r="D937" s="8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87"/>
      <c r="C938" s="87"/>
      <c r="D938" s="8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87"/>
      <c r="C939" s="87"/>
      <c r="D939" s="8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87"/>
      <c r="C940" s="87"/>
      <c r="D940" s="8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87"/>
      <c r="C941" s="87"/>
      <c r="D941" s="8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87"/>
      <c r="C942" s="87"/>
      <c r="D942" s="8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87"/>
      <c r="C943" s="87"/>
      <c r="D943" s="8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87"/>
      <c r="C944" s="87"/>
      <c r="D944" s="8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87"/>
      <c r="C945" s="87"/>
      <c r="D945" s="8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87"/>
      <c r="C946" s="87"/>
      <c r="D946" s="8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87"/>
      <c r="C947" s="87"/>
      <c r="D947" s="8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87"/>
      <c r="C948" s="87"/>
      <c r="D948" s="8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87"/>
      <c r="C949" s="87"/>
      <c r="D949" s="8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87"/>
      <c r="C950" s="87"/>
      <c r="D950" s="8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87"/>
      <c r="C951" s="87"/>
      <c r="D951" s="8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87"/>
      <c r="C952" s="87"/>
      <c r="D952" s="8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87"/>
      <c r="C953" s="87"/>
      <c r="D953" s="8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87"/>
      <c r="C954" s="87"/>
      <c r="D954" s="8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87"/>
      <c r="C955" s="87"/>
      <c r="D955" s="8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87"/>
      <c r="C956" s="87"/>
      <c r="D956" s="8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87"/>
      <c r="C957" s="87"/>
      <c r="D957" s="8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87"/>
      <c r="C958" s="87"/>
      <c r="D958" s="8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87"/>
      <c r="C959" s="87"/>
      <c r="D959" s="8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87"/>
      <c r="C960" s="87"/>
      <c r="D960" s="87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87"/>
      <c r="C961" s="87"/>
      <c r="D961" s="87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87"/>
      <c r="C962" s="87"/>
      <c r="D962" s="87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87"/>
      <c r="C963" s="87"/>
      <c r="D963" s="87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87"/>
      <c r="C964" s="87"/>
      <c r="D964" s="87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87"/>
      <c r="C965" s="87"/>
      <c r="D965" s="87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87"/>
      <c r="C966" s="87"/>
      <c r="D966" s="87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87"/>
      <c r="C967" s="87"/>
      <c r="D967" s="87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87"/>
      <c r="C968" s="87"/>
      <c r="D968" s="87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87"/>
      <c r="C969" s="87"/>
      <c r="D969" s="87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87"/>
      <c r="C970" s="87"/>
      <c r="D970" s="87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87"/>
      <c r="C971" s="87"/>
      <c r="D971" s="87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87"/>
      <c r="C972" s="87"/>
      <c r="D972" s="87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87"/>
      <c r="C973" s="87"/>
      <c r="D973" s="87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87"/>
      <c r="C974" s="87"/>
      <c r="D974" s="87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87"/>
      <c r="C975" s="87"/>
      <c r="D975" s="87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87"/>
      <c r="C976" s="87"/>
      <c r="D976" s="87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87"/>
      <c r="C977" s="87"/>
      <c r="D977" s="87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87"/>
      <c r="C978" s="87"/>
      <c r="D978" s="87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87"/>
      <c r="C979" s="87"/>
      <c r="D979" s="87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87"/>
      <c r="C980" s="87"/>
      <c r="D980" s="87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87"/>
      <c r="C981" s="87"/>
      <c r="D981" s="87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87"/>
      <c r="C982" s="87"/>
      <c r="D982" s="87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87"/>
      <c r="C983" s="87"/>
      <c r="D983" s="87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87"/>
      <c r="C984" s="87"/>
      <c r="D984" s="87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87"/>
      <c r="C985" s="87"/>
      <c r="D985" s="87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87"/>
      <c r="C986" s="87"/>
      <c r="D986" s="87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87"/>
      <c r="C987" s="87"/>
      <c r="D987" s="87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87"/>
      <c r="C988" s="87"/>
      <c r="D988" s="87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87"/>
      <c r="C989" s="87"/>
      <c r="D989" s="87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87"/>
      <c r="C990" s="87"/>
      <c r="D990" s="87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87"/>
      <c r="C991" s="87"/>
      <c r="D991" s="87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87"/>
      <c r="C992" s="87"/>
      <c r="D992" s="87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87"/>
      <c r="C993" s="87"/>
      <c r="D993" s="87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87"/>
      <c r="C994" s="87"/>
      <c r="D994" s="87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87"/>
      <c r="C995" s="87"/>
      <c r="D995" s="87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87"/>
      <c r="C996" s="87"/>
      <c r="D996" s="87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87"/>
      <c r="C997" s="87"/>
      <c r="D997" s="87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87"/>
      <c r="C998" s="87"/>
      <c r="D998" s="87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87"/>
      <c r="C999" s="87"/>
      <c r="D999" s="87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mergeCells count="30">
    <mergeCell ref="A1:F1"/>
    <mergeCell ref="G1:G2"/>
    <mergeCell ref="H1:H2"/>
    <mergeCell ref="G4:G5"/>
    <mergeCell ref="H4:H5"/>
    <mergeCell ref="G9:G10"/>
    <mergeCell ref="H9:I10"/>
    <mergeCell ref="G11:G12"/>
    <mergeCell ref="H11:I12"/>
    <mergeCell ref="G15:G16"/>
    <mergeCell ref="H15:I16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34:H34"/>
    <mergeCell ref="G35:H35"/>
    <mergeCell ref="G28:H28"/>
    <mergeCell ref="G29:H29"/>
    <mergeCell ref="G30:H30"/>
    <mergeCell ref="D31:E31"/>
    <mergeCell ref="G31:H31"/>
    <mergeCell ref="G32:H32"/>
    <mergeCell ref="G33:H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SUM(G7:G960)</f>
        <v>7191.034</v>
      </c>
      <c r="C2" s="100">
        <f>SUMIF(F8:F958,"MÉDIA MULTI-ANNONCEURS",G8:G958)</f>
        <v>578.5</v>
      </c>
      <c r="D2" s="101">
        <f>SUMIF(F8:F958,"PROMOTIONNEL",G8:G958)</f>
        <v>1467.791</v>
      </c>
      <c r="E2" s="102">
        <f>SUMIF(F8:F958,"DIST. PUBLICITAIRE SOLO",G8:G958)</f>
        <v>1218.318</v>
      </c>
      <c r="F2" s="103">
        <f>SUMIF(F8:F958,"AGENCE PUB",G8:G958)</f>
        <v>3881.425</v>
      </c>
      <c r="G2" s="104">
        <f>SUMIF(F8:F958,"AGENCE WEB",G8:G958)</f>
        <v>45</v>
      </c>
      <c r="H2" s="105">
        <f>SUMIF(F8:F958,"SERVICES IA",G8:G958)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SUM(B8:B960)</f>
        <v>71910.34</v>
      </c>
      <c r="C4" s="100">
        <f>SUMIF(F8:F958,"MÉDIA MULTI-ANNONCEURS",B8:B958)</f>
        <v>5785</v>
      </c>
      <c r="D4" s="101">
        <f>SUMIF(F8:F958,"PROMOTIONNEL",B8:B958)</f>
        <v>14677.91</v>
      </c>
      <c r="E4" s="102">
        <f>SUMIF(F8:F958,"DIST. PUBLICITAIRE SOLO",B8:B958)</f>
        <v>12183.18</v>
      </c>
      <c r="F4" s="103">
        <f>SUMIF(F8:F958,"AGENCE PUB",B8:B958)</f>
        <v>38814.25</v>
      </c>
      <c r="G4" s="104">
        <f>SUMIF(F8:F958,"AGENCE WEB",B8:B958)</f>
        <v>450</v>
      </c>
      <c r="H4" s="105">
        <f>SUMIF(F8:F958,"SERVICES IA",B8:B958)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 t="s">
        <v>50</v>
      </c>
      <c r="B8" s="110">
        <v>6243.18</v>
      </c>
      <c r="C8" s="111" t="s">
        <v>51</v>
      </c>
      <c r="D8" s="112">
        <v>46023.0</v>
      </c>
      <c r="E8" s="113" t="s">
        <v>52</v>
      </c>
      <c r="F8" s="109" t="s">
        <v>21</v>
      </c>
      <c r="G8" s="88">
        <f t="shared" ref="G8:G164" si="1">B8*0.1</f>
        <v>624.318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 t="s">
        <v>53</v>
      </c>
      <c r="B9" s="110">
        <v>450.0</v>
      </c>
      <c r="C9" s="111" t="s">
        <v>54</v>
      </c>
      <c r="D9" s="112">
        <v>46023.0</v>
      </c>
      <c r="E9" s="113" t="s">
        <v>52</v>
      </c>
      <c r="F9" s="109" t="s">
        <v>55</v>
      </c>
      <c r="G9" s="88">
        <f t="shared" si="1"/>
        <v>45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 t="s">
        <v>56</v>
      </c>
      <c r="B10" s="110">
        <v>450.0</v>
      </c>
      <c r="C10" s="111" t="s">
        <v>57</v>
      </c>
      <c r="D10" s="112">
        <v>46023.0</v>
      </c>
      <c r="E10" s="113" t="s">
        <v>52</v>
      </c>
      <c r="F10" s="109" t="s">
        <v>55</v>
      </c>
      <c r="G10" s="88">
        <f t="shared" si="1"/>
        <v>45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 t="s">
        <v>58</v>
      </c>
      <c r="B11" s="110">
        <v>450.0</v>
      </c>
      <c r="C11" s="111" t="s">
        <v>59</v>
      </c>
      <c r="D11" s="112">
        <v>46023.0</v>
      </c>
      <c r="E11" s="113" t="s">
        <v>52</v>
      </c>
      <c r="F11" s="109" t="s">
        <v>55</v>
      </c>
      <c r="G11" s="88">
        <f t="shared" si="1"/>
        <v>45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 t="s">
        <v>60</v>
      </c>
      <c r="B12" s="110">
        <v>450.0</v>
      </c>
      <c r="C12" s="111" t="s">
        <v>61</v>
      </c>
      <c r="D12" s="112">
        <v>46023.0</v>
      </c>
      <c r="E12" s="113" t="s">
        <v>52</v>
      </c>
      <c r="F12" s="109" t="s">
        <v>55</v>
      </c>
      <c r="G12" s="88">
        <f t="shared" si="1"/>
        <v>45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 t="s">
        <v>62</v>
      </c>
      <c r="B13" s="110">
        <v>450.0</v>
      </c>
      <c r="C13" s="111" t="s">
        <v>63</v>
      </c>
      <c r="D13" s="112">
        <v>46023.0</v>
      </c>
      <c r="E13" s="113" t="s">
        <v>52</v>
      </c>
      <c r="F13" s="109" t="s">
        <v>55</v>
      </c>
      <c r="G13" s="88">
        <f t="shared" si="1"/>
        <v>45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 t="s">
        <v>64</v>
      </c>
      <c r="B14" s="110">
        <v>450.0</v>
      </c>
      <c r="C14" s="111" t="s">
        <v>65</v>
      </c>
      <c r="D14" s="112">
        <v>46023.0</v>
      </c>
      <c r="E14" s="113" t="s">
        <v>52</v>
      </c>
      <c r="F14" s="109" t="s">
        <v>55</v>
      </c>
      <c r="G14" s="88">
        <f t="shared" si="1"/>
        <v>45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 t="s">
        <v>66</v>
      </c>
      <c r="B15" s="110">
        <v>450.0</v>
      </c>
      <c r="C15" s="111" t="s">
        <v>67</v>
      </c>
      <c r="D15" s="112">
        <v>46023.0</v>
      </c>
      <c r="E15" s="113" t="s">
        <v>52</v>
      </c>
      <c r="F15" s="109" t="s">
        <v>55</v>
      </c>
      <c r="G15" s="88">
        <f t="shared" si="1"/>
        <v>45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09" t="s">
        <v>68</v>
      </c>
      <c r="B16" s="110">
        <v>450.0</v>
      </c>
      <c r="C16" s="111" t="s">
        <v>69</v>
      </c>
      <c r="D16" s="112">
        <v>46023.0</v>
      </c>
      <c r="E16" s="113" t="s">
        <v>52</v>
      </c>
      <c r="F16" s="109" t="s">
        <v>55</v>
      </c>
      <c r="G16" s="88">
        <f t="shared" si="1"/>
        <v>45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9" t="s">
        <v>70</v>
      </c>
      <c r="B17" s="110">
        <v>450.0</v>
      </c>
      <c r="C17" s="111" t="s">
        <v>71</v>
      </c>
      <c r="D17" s="112">
        <v>46023.0</v>
      </c>
      <c r="E17" s="113" t="s">
        <v>52</v>
      </c>
      <c r="F17" s="109" t="s">
        <v>72</v>
      </c>
      <c r="G17" s="88">
        <f t="shared" si="1"/>
        <v>45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09" t="s">
        <v>73</v>
      </c>
      <c r="B18" s="110">
        <v>450.0</v>
      </c>
      <c r="C18" s="111" t="s">
        <v>74</v>
      </c>
      <c r="D18" s="112">
        <v>46023.0</v>
      </c>
      <c r="E18" s="113" t="s">
        <v>52</v>
      </c>
      <c r="F18" s="109" t="s">
        <v>55</v>
      </c>
      <c r="G18" s="88">
        <f t="shared" si="1"/>
        <v>45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09" t="s">
        <v>75</v>
      </c>
      <c r="B19" s="110">
        <v>520.0</v>
      </c>
      <c r="C19" s="111" t="s">
        <v>76</v>
      </c>
      <c r="D19" s="112">
        <v>46023.0</v>
      </c>
      <c r="E19" s="113" t="s">
        <v>52</v>
      </c>
      <c r="F19" s="109" t="s">
        <v>55</v>
      </c>
      <c r="G19" s="88">
        <f t="shared" si="1"/>
        <v>52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09" t="s">
        <v>77</v>
      </c>
      <c r="B20" s="110">
        <v>485.0</v>
      </c>
      <c r="C20" s="111" t="s">
        <v>78</v>
      </c>
      <c r="D20" s="112">
        <v>46023.0</v>
      </c>
      <c r="E20" s="113" t="s">
        <v>52</v>
      </c>
      <c r="F20" s="109" t="s">
        <v>55</v>
      </c>
      <c r="G20" s="88">
        <f t="shared" si="1"/>
        <v>48.5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09" t="s">
        <v>79</v>
      </c>
      <c r="B21" s="110">
        <v>450.0</v>
      </c>
      <c r="C21" s="111" t="s">
        <v>80</v>
      </c>
      <c r="D21" s="112">
        <v>46023.0</v>
      </c>
      <c r="E21" s="113" t="s">
        <v>52</v>
      </c>
      <c r="F21" s="109" t="s">
        <v>55</v>
      </c>
      <c r="G21" s="88">
        <f t="shared" si="1"/>
        <v>45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09" t="s">
        <v>53</v>
      </c>
      <c r="B22" s="110">
        <v>70.0</v>
      </c>
      <c r="C22" s="111" t="s">
        <v>81</v>
      </c>
      <c r="D22" s="112">
        <v>46023.0</v>
      </c>
      <c r="E22" s="113" t="s">
        <v>52</v>
      </c>
      <c r="F22" s="109" t="s">
        <v>55</v>
      </c>
      <c r="G22" s="88">
        <f t="shared" si="1"/>
        <v>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09" t="s">
        <v>60</v>
      </c>
      <c r="B23" s="110">
        <v>-450.0</v>
      </c>
      <c r="C23" s="111" t="s">
        <v>82</v>
      </c>
      <c r="D23" s="112">
        <v>46027.0</v>
      </c>
      <c r="E23" s="113" t="s">
        <v>52</v>
      </c>
      <c r="F23" s="109" t="s">
        <v>55</v>
      </c>
      <c r="G23" s="88">
        <f t="shared" si="1"/>
        <v>-45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09" t="s">
        <v>66</v>
      </c>
      <c r="B24" s="110">
        <v>-450.0</v>
      </c>
      <c r="C24" s="111" t="s">
        <v>83</v>
      </c>
      <c r="D24" s="112">
        <v>46027.0</v>
      </c>
      <c r="E24" s="113" t="s">
        <v>52</v>
      </c>
      <c r="F24" s="109" t="s">
        <v>55</v>
      </c>
      <c r="G24" s="88">
        <f t="shared" si="1"/>
        <v>-45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09" t="s">
        <v>73</v>
      </c>
      <c r="B25" s="110">
        <v>500.0</v>
      </c>
      <c r="C25" s="111" t="s">
        <v>84</v>
      </c>
      <c r="D25" s="112">
        <v>46027.0</v>
      </c>
      <c r="E25" s="113" t="s">
        <v>52</v>
      </c>
      <c r="F25" s="109" t="s">
        <v>20</v>
      </c>
      <c r="G25" s="88">
        <f t="shared" si="1"/>
        <v>50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09" t="s">
        <v>85</v>
      </c>
      <c r="B26" s="110">
        <v>781.54</v>
      </c>
      <c r="C26" s="111" t="s">
        <v>86</v>
      </c>
      <c r="D26" s="112">
        <v>46027.0</v>
      </c>
      <c r="E26" s="113" t="s">
        <v>52</v>
      </c>
      <c r="F26" s="109" t="s">
        <v>20</v>
      </c>
      <c r="G26" s="88">
        <f t="shared" si="1"/>
        <v>78.154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09" t="s">
        <v>87</v>
      </c>
      <c r="B27" s="110">
        <v>4190.0</v>
      </c>
      <c r="C27" s="111" t="s">
        <v>88</v>
      </c>
      <c r="D27" s="112">
        <v>46027.0</v>
      </c>
      <c r="E27" s="113" t="s">
        <v>52</v>
      </c>
      <c r="F27" s="109" t="s">
        <v>41</v>
      </c>
      <c r="G27" s="88">
        <f t="shared" si="1"/>
        <v>419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09" t="s">
        <v>89</v>
      </c>
      <c r="B28" s="110">
        <v>485.0</v>
      </c>
      <c r="C28" s="111" t="s">
        <v>90</v>
      </c>
      <c r="D28" s="112">
        <v>46028.0</v>
      </c>
      <c r="E28" s="113" t="s">
        <v>52</v>
      </c>
      <c r="F28" s="109" t="s">
        <v>55</v>
      </c>
      <c r="G28" s="88">
        <f t="shared" si="1"/>
        <v>48.5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09" t="s">
        <v>91</v>
      </c>
      <c r="B29" s="110">
        <v>-2017.0</v>
      </c>
      <c r="C29" s="111" t="s">
        <v>92</v>
      </c>
      <c r="D29" s="112">
        <v>46029.0</v>
      </c>
      <c r="E29" s="113" t="s">
        <v>52</v>
      </c>
      <c r="F29" s="109" t="s">
        <v>55</v>
      </c>
      <c r="G29" s="88">
        <f t="shared" si="1"/>
        <v>-201.7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09" t="s">
        <v>93</v>
      </c>
      <c r="B30" s="110">
        <v>119.0</v>
      </c>
      <c r="C30" s="111" t="s">
        <v>94</v>
      </c>
      <c r="D30" s="112">
        <v>46029.0</v>
      </c>
      <c r="E30" s="113" t="s">
        <v>52</v>
      </c>
      <c r="F30" s="109" t="s">
        <v>20</v>
      </c>
      <c r="G30" s="88">
        <f t="shared" si="1"/>
        <v>11.9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09" t="s">
        <v>95</v>
      </c>
      <c r="B31" s="110">
        <v>1495.0</v>
      </c>
      <c r="C31" s="111" t="s">
        <v>96</v>
      </c>
      <c r="D31" s="112">
        <v>46029.0</v>
      </c>
      <c r="E31" s="113" t="s">
        <v>52</v>
      </c>
      <c r="F31" s="109" t="s">
        <v>21</v>
      </c>
      <c r="G31" s="88">
        <f t="shared" si="1"/>
        <v>149.5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09" t="s">
        <v>97</v>
      </c>
      <c r="B32" s="110">
        <v>1595.0</v>
      </c>
      <c r="C32" s="111" t="s">
        <v>98</v>
      </c>
      <c r="D32" s="112">
        <v>46031.0</v>
      </c>
      <c r="E32" s="113" t="s">
        <v>52</v>
      </c>
      <c r="F32" s="109" t="s">
        <v>41</v>
      </c>
      <c r="G32" s="88">
        <f t="shared" si="1"/>
        <v>159.5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09" t="s">
        <v>99</v>
      </c>
      <c r="B33" s="110">
        <v>300.0</v>
      </c>
      <c r="C33" s="111" t="s">
        <v>100</v>
      </c>
      <c r="D33" s="112">
        <v>46034.0</v>
      </c>
      <c r="E33" s="113" t="s">
        <v>52</v>
      </c>
      <c r="F33" s="109" t="s">
        <v>20</v>
      </c>
      <c r="G33" s="88">
        <f t="shared" si="1"/>
        <v>30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09" t="s">
        <v>101</v>
      </c>
      <c r="B34" s="110">
        <v>836.64</v>
      </c>
      <c r="C34" s="111" t="s">
        <v>102</v>
      </c>
      <c r="D34" s="112">
        <v>46036.0</v>
      </c>
      <c r="E34" s="113" t="s">
        <v>52</v>
      </c>
      <c r="F34" s="109" t="s">
        <v>20</v>
      </c>
      <c r="G34" s="88">
        <f t="shared" si="1"/>
        <v>83.664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09" t="s">
        <v>103</v>
      </c>
      <c r="B35" s="110">
        <v>31.25</v>
      </c>
      <c r="C35" s="111" t="s">
        <v>104</v>
      </c>
      <c r="D35" s="112">
        <v>46036.0</v>
      </c>
      <c r="E35" s="113" t="s">
        <v>52</v>
      </c>
      <c r="F35" s="109" t="s">
        <v>55</v>
      </c>
      <c r="G35" s="88">
        <f t="shared" si="1"/>
        <v>3.125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09" t="s">
        <v>93</v>
      </c>
      <c r="B36" s="110">
        <v>119.0</v>
      </c>
      <c r="C36" s="111" t="s">
        <v>105</v>
      </c>
      <c r="D36" s="112">
        <v>46036.0</v>
      </c>
      <c r="E36" s="113" t="s">
        <v>52</v>
      </c>
      <c r="F36" s="109" t="s">
        <v>20</v>
      </c>
      <c r="G36" s="88">
        <f t="shared" si="1"/>
        <v>11.9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09" t="s">
        <v>73</v>
      </c>
      <c r="B37" s="110">
        <v>500.0</v>
      </c>
      <c r="C37" s="111" t="s">
        <v>106</v>
      </c>
      <c r="D37" s="112">
        <v>46037.0</v>
      </c>
      <c r="E37" s="113" t="s">
        <v>52</v>
      </c>
      <c r="F37" s="109" t="s">
        <v>55</v>
      </c>
      <c r="G37" s="88">
        <f t="shared" si="1"/>
        <v>50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09" t="s">
        <v>97</v>
      </c>
      <c r="B38" s="110">
        <v>1500.0</v>
      </c>
      <c r="C38" s="111" t="s">
        <v>107</v>
      </c>
      <c r="D38" s="112">
        <v>46037.0</v>
      </c>
      <c r="E38" s="113" t="s">
        <v>52</v>
      </c>
      <c r="F38" s="109" t="s">
        <v>55</v>
      </c>
      <c r="G38" s="88">
        <f t="shared" si="1"/>
        <v>150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109" t="s">
        <v>108</v>
      </c>
      <c r="B39" s="110">
        <v>-1840.0</v>
      </c>
      <c r="C39" s="111" t="s">
        <v>109</v>
      </c>
      <c r="D39" s="112">
        <v>46038.0</v>
      </c>
      <c r="E39" s="113" t="s">
        <v>52</v>
      </c>
      <c r="F39" s="109" t="s">
        <v>20</v>
      </c>
      <c r="G39" s="88">
        <f t="shared" si="1"/>
        <v>-184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109" t="s">
        <v>110</v>
      </c>
      <c r="B40" s="110">
        <v>-13.13</v>
      </c>
      <c r="C40" s="111" t="s">
        <v>111</v>
      </c>
      <c r="D40" s="112">
        <v>46038.0</v>
      </c>
      <c r="E40" s="113" t="s">
        <v>52</v>
      </c>
      <c r="F40" s="109" t="s">
        <v>20</v>
      </c>
      <c r="G40" s="88">
        <f t="shared" si="1"/>
        <v>-1.313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109" t="s">
        <v>112</v>
      </c>
      <c r="B41" s="110">
        <v>2195.0</v>
      </c>
      <c r="C41" s="111" t="s">
        <v>113</v>
      </c>
      <c r="D41" s="112">
        <v>46038.0</v>
      </c>
      <c r="E41" s="113" t="s">
        <v>52</v>
      </c>
      <c r="F41" s="109" t="s">
        <v>20</v>
      </c>
      <c r="G41" s="88">
        <f t="shared" si="1"/>
        <v>219.5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09" t="s">
        <v>73</v>
      </c>
      <c r="B42" s="110">
        <v>3343.75</v>
      </c>
      <c r="C42" s="111" t="s">
        <v>114</v>
      </c>
      <c r="D42" s="112">
        <v>46045.0</v>
      </c>
      <c r="E42" s="113" t="s">
        <v>52</v>
      </c>
      <c r="F42" s="109" t="s">
        <v>55</v>
      </c>
      <c r="G42" s="88">
        <f t="shared" si="1"/>
        <v>334.375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09" t="s">
        <v>115</v>
      </c>
      <c r="B43" s="110">
        <v>1612.5</v>
      </c>
      <c r="C43" s="111" t="s">
        <v>116</v>
      </c>
      <c r="D43" s="112">
        <v>46045.0</v>
      </c>
      <c r="E43" s="113" t="s">
        <v>52</v>
      </c>
      <c r="F43" s="109" t="s">
        <v>20</v>
      </c>
      <c r="G43" s="88">
        <f t="shared" si="1"/>
        <v>161.25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109" t="s">
        <v>117</v>
      </c>
      <c r="B44" s="110">
        <v>1995.0</v>
      </c>
      <c r="C44" s="111" t="s">
        <v>118</v>
      </c>
      <c r="D44" s="112">
        <v>46043.0</v>
      </c>
      <c r="E44" s="113" t="s">
        <v>52</v>
      </c>
      <c r="F44" s="109" t="s">
        <v>55</v>
      </c>
      <c r="G44" s="88">
        <f t="shared" si="1"/>
        <v>199.5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109" t="s">
        <v>93</v>
      </c>
      <c r="B45" s="110">
        <v>119.0</v>
      </c>
      <c r="C45" s="111" t="s">
        <v>119</v>
      </c>
      <c r="D45" s="112">
        <v>46043.0</v>
      </c>
      <c r="E45" s="113" t="s">
        <v>52</v>
      </c>
      <c r="F45" s="109" t="s">
        <v>20</v>
      </c>
      <c r="G45" s="88">
        <f t="shared" si="1"/>
        <v>11.9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109" t="s">
        <v>120</v>
      </c>
      <c r="B46" s="110">
        <v>848.42</v>
      </c>
      <c r="C46" s="111" t="s">
        <v>121</v>
      </c>
      <c r="D46" s="112">
        <v>46043.0</v>
      </c>
      <c r="E46" s="113" t="s">
        <v>52</v>
      </c>
      <c r="F46" s="109" t="s">
        <v>20</v>
      </c>
      <c r="G46" s="88">
        <f t="shared" si="1"/>
        <v>84.842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109" t="s">
        <v>122</v>
      </c>
      <c r="B47" s="110">
        <v>715.0</v>
      </c>
      <c r="C47" s="111" t="s">
        <v>123</v>
      </c>
      <c r="D47" s="112">
        <v>46042.0</v>
      </c>
      <c r="E47" s="113" t="s">
        <v>52</v>
      </c>
      <c r="F47" s="109" t="s">
        <v>20</v>
      </c>
      <c r="G47" s="88">
        <f t="shared" si="1"/>
        <v>71.5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109" t="s">
        <v>122</v>
      </c>
      <c r="B48" s="110">
        <v>88.6</v>
      </c>
      <c r="C48" s="111" t="s">
        <v>124</v>
      </c>
      <c r="D48" s="112">
        <v>46042.0</v>
      </c>
      <c r="E48" s="113" t="s">
        <v>52</v>
      </c>
      <c r="F48" s="109" t="s">
        <v>20</v>
      </c>
      <c r="G48" s="88">
        <f t="shared" si="1"/>
        <v>8.86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109" t="s">
        <v>125</v>
      </c>
      <c r="B49" s="110">
        <v>2154.25</v>
      </c>
      <c r="C49" s="111" t="s">
        <v>126</v>
      </c>
      <c r="D49" s="112">
        <v>46042.0</v>
      </c>
      <c r="E49" s="113" t="s">
        <v>52</v>
      </c>
      <c r="F49" s="109" t="s">
        <v>20</v>
      </c>
      <c r="G49" s="88">
        <f t="shared" si="1"/>
        <v>215.425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109" t="s">
        <v>115</v>
      </c>
      <c r="B50" s="110">
        <v>2531.99</v>
      </c>
      <c r="C50" s="111" t="s">
        <v>127</v>
      </c>
      <c r="D50" s="112">
        <v>46042.0</v>
      </c>
      <c r="E50" s="113" t="s">
        <v>52</v>
      </c>
      <c r="F50" s="109" t="s">
        <v>20</v>
      </c>
      <c r="G50" s="88">
        <f t="shared" si="1"/>
        <v>253.199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109" t="s">
        <v>128</v>
      </c>
      <c r="B51" s="110">
        <v>2407.5</v>
      </c>
      <c r="C51" s="111" t="s">
        <v>129</v>
      </c>
      <c r="D51" s="112">
        <v>46042.0</v>
      </c>
      <c r="E51" s="113" t="s">
        <v>52</v>
      </c>
      <c r="F51" s="109" t="s">
        <v>55</v>
      </c>
      <c r="G51" s="88">
        <f t="shared" si="1"/>
        <v>240.75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109" t="s">
        <v>122</v>
      </c>
      <c r="B52" s="110">
        <v>495.2</v>
      </c>
      <c r="C52" s="111" t="s">
        <v>130</v>
      </c>
      <c r="D52" s="112">
        <v>46041.0</v>
      </c>
      <c r="E52" s="113" t="s">
        <v>52</v>
      </c>
      <c r="F52" s="109" t="s">
        <v>20</v>
      </c>
      <c r="G52" s="88">
        <f t="shared" si="1"/>
        <v>49.52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109" t="s">
        <v>131</v>
      </c>
      <c r="B53" s="110">
        <v>150.0</v>
      </c>
      <c r="C53" s="111" t="s">
        <v>132</v>
      </c>
      <c r="D53" s="112">
        <v>46053.0</v>
      </c>
      <c r="E53" s="113" t="s">
        <v>52</v>
      </c>
      <c r="F53" s="109" t="s">
        <v>55</v>
      </c>
      <c r="G53" s="88">
        <f t="shared" si="1"/>
        <v>15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109" t="s">
        <v>70</v>
      </c>
      <c r="B54" s="110">
        <v>850.0</v>
      </c>
      <c r="C54" s="111" t="s">
        <v>133</v>
      </c>
      <c r="D54" s="112">
        <v>46053.0</v>
      </c>
      <c r="E54" s="113" t="s">
        <v>52</v>
      </c>
      <c r="F54" s="109" t="s">
        <v>55</v>
      </c>
      <c r="G54" s="88">
        <f t="shared" si="1"/>
        <v>85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109" t="s">
        <v>134</v>
      </c>
      <c r="B55" s="110">
        <v>650.0</v>
      </c>
      <c r="C55" s="111" t="s">
        <v>135</v>
      </c>
      <c r="D55" s="112">
        <v>46053.0</v>
      </c>
      <c r="E55" s="113" t="s">
        <v>52</v>
      </c>
      <c r="F55" s="109" t="s">
        <v>55</v>
      </c>
      <c r="G55" s="88">
        <f t="shared" si="1"/>
        <v>65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109" t="s">
        <v>136</v>
      </c>
      <c r="B56" s="110">
        <v>1950.0</v>
      </c>
      <c r="C56" s="111" t="s">
        <v>137</v>
      </c>
      <c r="D56" s="112">
        <v>46053.0</v>
      </c>
      <c r="E56" s="113" t="s">
        <v>52</v>
      </c>
      <c r="F56" s="109" t="s">
        <v>55</v>
      </c>
      <c r="G56" s="88">
        <f t="shared" si="1"/>
        <v>195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109" t="s">
        <v>68</v>
      </c>
      <c r="B57" s="110">
        <v>150.0</v>
      </c>
      <c r="C57" s="111" t="s">
        <v>138</v>
      </c>
      <c r="D57" s="112">
        <v>46053.0</v>
      </c>
      <c r="E57" s="113" t="s">
        <v>52</v>
      </c>
      <c r="F57" s="109" t="s">
        <v>55</v>
      </c>
      <c r="G57" s="88">
        <f t="shared" si="1"/>
        <v>15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109" t="s">
        <v>91</v>
      </c>
      <c r="B58" s="110">
        <v>150.0</v>
      </c>
      <c r="C58" s="111" t="s">
        <v>139</v>
      </c>
      <c r="D58" s="112">
        <v>46053.0</v>
      </c>
      <c r="E58" s="113" t="s">
        <v>52</v>
      </c>
      <c r="F58" s="109" t="s">
        <v>55</v>
      </c>
      <c r="G58" s="88">
        <f t="shared" si="1"/>
        <v>15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109" t="s">
        <v>93</v>
      </c>
      <c r="B59" s="110">
        <v>1200.0</v>
      </c>
      <c r="C59" s="111" t="s">
        <v>140</v>
      </c>
      <c r="D59" s="112">
        <v>46053.0</v>
      </c>
      <c r="E59" s="113" t="s">
        <v>52</v>
      </c>
      <c r="F59" s="109" t="s">
        <v>55</v>
      </c>
      <c r="G59" s="88">
        <f t="shared" si="1"/>
        <v>120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09" t="s">
        <v>89</v>
      </c>
      <c r="B60" s="110">
        <v>962.5</v>
      </c>
      <c r="C60" s="111" t="s">
        <v>141</v>
      </c>
      <c r="D60" s="112">
        <v>46053.0</v>
      </c>
      <c r="E60" s="113" t="s">
        <v>52</v>
      </c>
      <c r="F60" s="109" t="s">
        <v>55</v>
      </c>
      <c r="G60" s="88">
        <f t="shared" si="1"/>
        <v>96.25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109" t="s">
        <v>77</v>
      </c>
      <c r="B61" s="110">
        <v>150.0</v>
      </c>
      <c r="C61" s="111" t="s">
        <v>142</v>
      </c>
      <c r="D61" s="112">
        <v>46053.0</v>
      </c>
      <c r="E61" s="113" t="s">
        <v>52</v>
      </c>
      <c r="F61" s="109" t="s">
        <v>55</v>
      </c>
      <c r="G61" s="88">
        <f t="shared" si="1"/>
        <v>15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109" t="s">
        <v>115</v>
      </c>
      <c r="B62" s="110">
        <v>2656.25</v>
      </c>
      <c r="C62" s="111" t="s">
        <v>143</v>
      </c>
      <c r="D62" s="112">
        <v>46053.0</v>
      </c>
      <c r="E62" s="113" t="s">
        <v>52</v>
      </c>
      <c r="F62" s="109" t="s">
        <v>55</v>
      </c>
      <c r="G62" s="88">
        <f t="shared" si="1"/>
        <v>265.625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109" t="s">
        <v>144</v>
      </c>
      <c r="B63" s="110">
        <v>475.0</v>
      </c>
      <c r="C63" s="111" t="s">
        <v>145</v>
      </c>
      <c r="D63" s="112">
        <v>46053.0</v>
      </c>
      <c r="E63" s="113" t="s">
        <v>52</v>
      </c>
      <c r="F63" s="109" t="s">
        <v>55</v>
      </c>
      <c r="G63" s="88">
        <f t="shared" si="1"/>
        <v>47.5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109" t="s">
        <v>146</v>
      </c>
      <c r="B64" s="110">
        <v>475.0</v>
      </c>
      <c r="C64" s="111" t="s">
        <v>147</v>
      </c>
      <c r="D64" s="112">
        <v>46053.0</v>
      </c>
      <c r="E64" s="113" t="s">
        <v>52</v>
      </c>
      <c r="F64" s="109" t="s">
        <v>55</v>
      </c>
      <c r="G64" s="88">
        <f t="shared" si="1"/>
        <v>47.5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109" t="s">
        <v>97</v>
      </c>
      <c r="B65" s="110">
        <v>475.0</v>
      </c>
      <c r="C65" s="111" t="s">
        <v>148</v>
      </c>
      <c r="D65" s="112">
        <v>46053.0</v>
      </c>
      <c r="E65" s="113" t="s">
        <v>52</v>
      </c>
      <c r="F65" s="109" t="s">
        <v>55</v>
      </c>
      <c r="G65" s="88">
        <f t="shared" si="1"/>
        <v>47.5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109" t="s">
        <v>149</v>
      </c>
      <c r="B66" s="110">
        <v>1312.5</v>
      </c>
      <c r="C66" s="111" t="s">
        <v>150</v>
      </c>
      <c r="D66" s="112">
        <v>46053.0</v>
      </c>
      <c r="E66" s="113" t="s">
        <v>52</v>
      </c>
      <c r="F66" s="109" t="s">
        <v>55</v>
      </c>
      <c r="G66" s="88">
        <f t="shared" si="1"/>
        <v>131.25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109" t="s">
        <v>149</v>
      </c>
      <c r="B67" s="110">
        <v>2199.5</v>
      </c>
      <c r="C67" s="111" t="s">
        <v>151</v>
      </c>
      <c r="D67" s="112">
        <v>46053.0</v>
      </c>
      <c r="E67" s="113" t="s">
        <v>52</v>
      </c>
      <c r="F67" s="109" t="s">
        <v>55</v>
      </c>
      <c r="G67" s="88">
        <f t="shared" si="1"/>
        <v>219.95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109" t="s">
        <v>152</v>
      </c>
      <c r="B68" s="110">
        <v>1844.0</v>
      </c>
      <c r="C68" s="111" t="s">
        <v>153</v>
      </c>
      <c r="D68" s="112">
        <v>46053.0</v>
      </c>
      <c r="E68" s="113" t="s">
        <v>52</v>
      </c>
      <c r="F68" s="109" t="s">
        <v>55</v>
      </c>
      <c r="G68" s="88">
        <f t="shared" si="1"/>
        <v>184.4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109" t="s">
        <v>154</v>
      </c>
      <c r="B69" s="110">
        <v>400.0</v>
      </c>
      <c r="C69" s="111" t="s">
        <v>155</v>
      </c>
      <c r="D69" s="112">
        <v>46053.0</v>
      </c>
      <c r="E69" s="113" t="s">
        <v>52</v>
      </c>
      <c r="F69" s="109" t="s">
        <v>55</v>
      </c>
      <c r="G69" s="88">
        <f t="shared" si="1"/>
        <v>40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109" t="s">
        <v>156</v>
      </c>
      <c r="B70" s="110">
        <v>1225.0</v>
      </c>
      <c r="C70" s="111" t="s">
        <v>157</v>
      </c>
      <c r="D70" s="112">
        <v>46053.0</v>
      </c>
      <c r="E70" s="113" t="s">
        <v>52</v>
      </c>
      <c r="F70" s="109" t="s">
        <v>55</v>
      </c>
      <c r="G70" s="88">
        <f t="shared" si="1"/>
        <v>122.5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109" t="s">
        <v>64</v>
      </c>
      <c r="B71" s="110">
        <v>475.0</v>
      </c>
      <c r="C71" s="111" t="s">
        <v>158</v>
      </c>
      <c r="D71" s="112">
        <v>46053.0</v>
      </c>
      <c r="E71" s="113" t="s">
        <v>52</v>
      </c>
      <c r="F71" s="109" t="s">
        <v>55</v>
      </c>
      <c r="G71" s="88">
        <f t="shared" si="1"/>
        <v>47.5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109" t="s">
        <v>159</v>
      </c>
      <c r="B72" s="110">
        <v>475.0</v>
      </c>
      <c r="C72" s="111" t="s">
        <v>160</v>
      </c>
      <c r="D72" s="112">
        <v>46053.0</v>
      </c>
      <c r="E72" s="113" t="s">
        <v>52</v>
      </c>
      <c r="F72" s="109" t="s">
        <v>55</v>
      </c>
      <c r="G72" s="88">
        <f t="shared" si="1"/>
        <v>47.5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109" t="s">
        <v>161</v>
      </c>
      <c r="B73" s="110">
        <v>1100.0</v>
      </c>
      <c r="C73" s="111" t="s">
        <v>162</v>
      </c>
      <c r="D73" s="112">
        <v>46053.0</v>
      </c>
      <c r="E73" s="113" t="s">
        <v>52</v>
      </c>
      <c r="F73" s="109" t="s">
        <v>55</v>
      </c>
      <c r="G73" s="88">
        <f t="shared" si="1"/>
        <v>110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109" t="s">
        <v>163</v>
      </c>
      <c r="B74" s="110">
        <v>475.0</v>
      </c>
      <c r="C74" s="111" t="s">
        <v>164</v>
      </c>
      <c r="D74" s="112">
        <v>46053.0</v>
      </c>
      <c r="E74" s="113" t="s">
        <v>52</v>
      </c>
      <c r="F74" s="109" t="s">
        <v>55</v>
      </c>
      <c r="G74" s="88">
        <f t="shared" si="1"/>
        <v>47.5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109" t="s">
        <v>95</v>
      </c>
      <c r="B75" s="110">
        <v>539.15</v>
      </c>
      <c r="C75" s="111" t="s">
        <v>165</v>
      </c>
      <c r="D75" s="112">
        <v>46052.0</v>
      </c>
      <c r="E75" s="113" t="s">
        <v>52</v>
      </c>
      <c r="F75" s="109" t="s">
        <v>20</v>
      </c>
      <c r="G75" s="88">
        <f t="shared" si="1"/>
        <v>53.915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109" t="s">
        <v>93</v>
      </c>
      <c r="B76" s="110">
        <v>119.0</v>
      </c>
      <c r="C76" s="111" t="s">
        <v>166</v>
      </c>
      <c r="D76" s="112">
        <v>46050.0</v>
      </c>
      <c r="E76" s="113" t="s">
        <v>52</v>
      </c>
      <c r="F76" s="109" t="s">
        <v>20</v>
      </c>
      <c r="G76" s="88">
        <f t="shared" si="1"/>
        <v>11.9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109" t="s">
        <v>110</v>
      </c>
      <c r="B77" s="110">
        <v>975.0</v>
      </c>
      <c r="C77" s="111" t="s">
        <v>167</v>
      </c>
      <c r="D77" s="112">
        <v>46049.0</v>
      </c>
      <c r="E77" s="113" t="s">
        <v>52</v>
      </c>
      <c r="F77" s="109" t="s">
        <v>20</v>
      </c>
      <c r="G77" s="88">
        <f t="shared" si="1"/>
        <v>97.5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109" t="s">
        <v>149</v>
      </c>
      <c r="B78" s="110">
        <v>6094.0</v>
      </c>
      <c r="C78" s="111" t="s">
        <v>168</v>
      </c>
      <c r="D78" s="112">
        <v>46049.0</v>
      </c>
      <c r="E78" s="113" t="s">
        <v>52</v>
      </c>
      <c r="F78" s="109" t="s">
        <v>55</v>
      </c>
      <c r="G78" s="88">
        <f t="shared" si="1"/>
        <v>609.4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109" t="s">
        <v>169</v>
      </c>
      <c r="B79" s="110">
        <v>130.89</v>
      </c>
      <c r="C79" s="111" t="s">
        <v>170</v>
      </c>
      <c r="D79" s="112">
        <v>46049.0</v>
      </c>
      <c r="E79" s="113" t="s">
        <v>52</v>
      </c>
      <c r="F79" s="109" t="s">
        <v>20</v>
      </c>
      <c r="G79" s="88">
        <f t="shared" si="1"/>
        <v>13.089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109" t="s">
        <v>171</v>
      </c>
      <c r="B80" s="110">
        <v>329.62</v>
      </c>
      <c r="C80" s="111" t="s">
        <v>172</v>
      </c>
      <c r="D80" s="112">
        <v>46049.0</v>
      </c>
      <c r="E80" s="113" t="s">
        <v>52</v>
      </c>
      <c r="F80" s="109" t="s">
        <v>20</v>
      </c>
      <c r="G80" s="88">
        <f t="shared" si="1"/>
        <v>32.962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109" t="s">
        <v>115</v>
      </c>
      <c r="B81" s="110">
        <v>705.0</v>
      </c>
      <c r="C81" s="111" t="s">
        <v>173</v>
      </c>
      <c r="D81" s="112">
        <v>46049.0</v>
      </c>
      <c r="E81" s="113" t="s">
        <v>52</v>
      </c>
      <c r="F81" s="109" t="s">
        <v>20</v>
      </c>
      <c r="G81" s="88">
        <f t="shared" si="1"/>
        <v>70.5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109" t="s">
        <v>174</v>
      </c>
      <c r="B82" s="110">
        <v>4445.0</v>
      </c>
      <c r="C82" s="111" t="s">
        <v>175</v>
      </c>
      <c r="D82" s="112">
        <v>46049.0</v>
      </c>
      <c r="E82" s="113" t="s">
        <v>52</v>
      </c>
      <c r="F82" s="109" t="s">
        <v>21</v>
      </c>
      <c r="G82" s="88">
        <f t="shared" si="1"/>
        <v>444.5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109" t="s">
        <v>122</v>
      </c>
      <c r="B83" s="110">
        <v>316.24</v>
      </c>
      <c r="C83" s="111" t="s">
        <v>176</v>
      </c>
      <c r="D83" s="112">
        <v>46049.0</v>
      </c>
      <c r="E83" s="113" t="s">
        <v>52</v>
      </c>
      <c r="F83" s="109" t="s">
        <v>20</v>
      </c>
      <c r="G83" s="88">
        <f t="shared" si="1"/>
        <v>31.624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4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4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4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4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4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4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4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4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4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4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4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4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4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4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4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4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4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4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4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4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4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4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4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4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4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4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4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4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4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4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4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4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4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4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4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4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4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4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4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4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4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4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4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4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4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4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4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4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4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4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4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4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4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4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4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4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4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4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4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88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88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ref="G165:G210" si="2">B165*0.05</f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2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si="2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88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88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115"/>
      <c r="V969" s="115"/>
      <c r="W969" s="115"/>
      <c r="X969" s="115"/>
      <c r="Y969" s="115"/>
      <c r="Z969" s="115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115"/>
      <c r="V970" s="115"/>
      <c r="W970" s="115"/>
      <c r="X970" s="115"/>
      <c r="Y970" s="115"/>
      <c r="Z970" s="115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5"/>
      <c r="V971" s="115"/>
      <c r="W971" s="115"/>
      <c r="X971" s="115"/>
      <c r="Y971" s="115"/>
      <c r="Z971" s="115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5"/>
      <c r="V972" s="115"/>
      <c r="W972" s="115"/>
      <c r="X972" s="115"/>
      <c r="Y972" s="115"/>
      <c r="Z972" s="115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5"/>
      <c r="V973" s="115"/>
      <c r="W973" s="115"/>
      <c r="X973" s="115"/>
      <c r="Y973" s="115"/>
      <c r="Z973" s="115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5"/>
      <c r="V974" s="115"/>
      <c r="W974" s="115"/>
      <c r="X974" s="115"/>
      <c r="Y974" s="115"/>
      <c r="Z974" s="115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5"/>
      <c r="V975" s="115"/>
      <c r="W975" s="115"/>
      <c r="X975" s="115"/>
      <c r="Y975" s="115"/>
      <c r="Z975" s="115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5"/>
      <c r="V976" s="115"/>
      <c r="W976" s="115"/>
      <c r="X976" s="115"/>
      <c r="Y976" s="115"/>
      <c r="Z976" s="115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5"/>
      <c r="V977" s="115"/>
      <c r="W977" s="115"/>
      <c r="X977" s="115"/>
      <c r="Y977" s="115"/>
      <c r="Z977" s="115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5"/>
      <c r="V978" s="115"/>
      <c r="W978" s="115"/>
      <c r="X978" s="115"/>
      <c r="Y978" s="115"/>
      <c r="Z978" s="115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5"/>
      <c r="V979" s="115"/>
      <c r="W979" s="115"/>
      <c r="X979" s="115"/>
      <c r="Y979" s="115"/>
      <c r="Z979" s="115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5"/>
      <c r="V980" s="115"/>
      <c r="W980" s="115"/>
      <c r="X980" s="115"/>
      <c r="Y980" s="115"/>
      <c r="Z980" s="115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5"/>
      <c r="V981" s="115"/>
      <c r="W981" s="115"/>
      <c r="X981" s="115"/>
      <c r="Y981" s="115"/>
      <c r="Z981" s="115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5"/>
      <c r="V982" s="115"/>
      <c r="W982" s="115"/>
      <c r="X982" s="115"/>
      <c r="Y982" s="115"/>
      <c r="Z982" s="115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5"/>
      <c r="V983" s="115"/>
      <c r="W983" s="115"/>
      <c r="X983" s="115"/>
      <c r="Y983" s="115"/>
      <c r="Z983" s="115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5"/>
      <c r="V984" s="115"/>
      <c r="W984" s="115"/>
      <c r="X984" s="115"/>
      <c r="Y984" s="115"/>
      <c r="Z984" s="115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5"/>
      <c r="V985" s="115"/>
      <c r="W985" s="115"/>
      <c r="X985" s="115"/>
      <c r="Y985" s="115"/>
      <c r="Z985" s="115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5"/>
      <c r="V986" s="115"/>
      <c r="W986" s="115"/>
      <c r="X986" s="115"/>
      <c r="Y986" s="115"/>
      <c r="Z986" s="115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5"/>
      <c r="V987" s="115"/>
      <c r="W987" s="115"/>
      <c r="X987" s="115"/>
      <c r="Y987" s="115"/>
      <c r="Z987" s="115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5"/>
      <c r="V988" s="115"/>
      <c r="W988" s="115"/>
      <c r="X988" s="115"/>
      <c r="Y988" s="115"/>
      <c r="Z988" s="115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5"/>
      <c r="V989" s="115"/>
      <c r="W989" s="115"/>
      <c r="X989" s="115"/>
      <c r="Y989" s="115"/>
      <c r="Z989" s="115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5"/>
      <c r="V990" s="115"/>
      <c r="W990" s="115"/>
      <c r="X990" s="115"/>
      <c r="Y990" s="115"/>
      <c r="Z990" s="115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5"/>
      <c r="V991" s="115"/>
      <c r="W991" s="115"/>
      <c r="X991" s="115"/>
      <c r="Y991" s="115"/>
      <c r="Z991" s="115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5"/>
      <c r="V992" s="115"/>
      <c r="W992" s="115"/>
      <c r="X992" s="115"/>
      <c r="Y992" s="115"/>
      <c r="Z992" s="115"/>
    </row>
  </sheetData>
  <autoFilter ref="$A$7:$G$210">
    <sortState ref="A7:G210">
      <sortCondition ref="D7:D210"/>
      <sortCondition ref="C7:C210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13375.099</v>
      </c>
      <c r="C2" s="100">
        <f>SUMIF(F8:F960,"MÉDIA MULTI-ANNONCEURS",G8:G960)</f>
        <v>358.5</v>
      </c>
      <c r="D2" s="101">
        <f>SUMIF(F8:F960,"PROMOTIONNEL",G8:G960)</f>
        <v>3897.01</v>
      </c>
      <c r="E2" s="102">
        <f>SUMIF(F8:F960,"DIST. PUBLICITAIRE SOLO",G8:G960)</f>
        <v>6537.064</v>
      </c>
      <c r="F2" s="103">
        <f>SUMIF(F8:F960,"AGENCE PUB",G8:G960)</f>
        <v>2582.525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133750.99</v>
      </c>
      <c r="C4" s="100">
        <f>SUMIF(F8:F960,"MÉDIA MULTI-ANNONCEURS",B8:B960)</f>
        <v>3585</v>
      </c>
      <c r="D4" s="101">
        <f>SUMIF(F8:F960,"PROMOTIONNEL",B8:B960)</f>
        <v>38970.1</v>
      </c>
      <c r="E4" s="102">
        <f>SUMIF(F8:F960,"DIST. PUBLICITAIRE SOLO",B8:B960)</f>
        <v>65370.64</v>
      </c>
      <c r="F4" s="103">
        <f>SUMIF(F8:F960,"AGENCE PUB",B8:B960)</f>
        <v>25825.25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 t="s">
        <v>97</v>
      </c>
      <c r="B8" s="110">
        <v>1595.0</v>
      </c>
      <c r="C8" s="111" t="s">
        <v>177</v>
      </c>
      <c r="D8" s="112">
        <v>46059.0</v>
      </c>
      <c r="E8" s="113" t="s">
        <v>52</v>
      </c>
      <c r="F8" s="109" t="s">
        <v>41</v>
      </c>
      <c r="G8" s="88">
        <f t="shared" ref="G8:G166" si="1">B8*0.1</f>
        <v>159.5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 t="s">
        <v>178</v>
      </c>
      <c r="B9" s="110">
        <v>234.29</v>
      </c>
      <c r="C9" s="111" t="s">
        <v>179</v>
      </c>
      <c r="D9" s="112">
        <v>46059.0</v>
      </c>
      <c r="E9" s="113" t="s">
        <v>52</v>
      </c>
      <c r="F9" s="109" t="s">
        <v>20</v>
      </c>
      <c r="G9" s="88">
        <f t="shared" si="1"/>
        <v>23.429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 t="s">
        <v>117</v>
      </c>
      <c r="B10" s="110">
        <v>1623.23</v>
      </c>
      <c r="C10" s="111" t="s">
        <v>180</v>
      </c>
      <c r="D10" s="112">
        <v>46059.0</v>
      </c>
      <c r="E10" s="113" t="s">
        <v>52</v>
      </c>
      <c r="F10" s="109" t="s">
        <v>21</v>
      </c>
      <c r="G10" s="88">
        <f t="shared" si="1"/>
        <v>162.323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 t="s">
        <v>99</v>
      </c>
      <c r="B11" s="110">
        <v>160.0</v>
      </c>
      <c r="C11" s="111" t="s">
        <v>181</v>
      </c>
      <c r="D11" s="112">
        <v>46059.0</v>
      </c>
      <c r="E11" s="113" t="s">
        <v>52</v>
      </c>
      <c r="F11" s="109" t="s">
        <v>20</v>
      </c>
      <c r="G11" s="88">
        <f t="shared" si="1"/>
        <v>16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 t="s">
        <v>182</v>
      </c>
      <c r="B12" s="110">
        <v>660.0</v>
      </c>
      <c r="C12" s="111" t="s">
        <v>183</v>
      </c>
      <c r="D12" s="112">
        <v>46059.0</v>
      </c>
      <c r="E12" s="113" t="s">
        <v>52</v>
      </c>
      <c r="F12" s="109" t="s">
        <v>20</v>
      </c>
      <c r="G12" s="88">
        <f t="shared" si="1"/>
        <v>66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 t="s">
        <v>184</v>
      </c>
      <c r="B13" s="110">
        <v>663.29</v>
      </c>
      <c r="C13" s="111" t="s">
        <v>185</v>
      </c>
      <c r="D13" s="112">
        <v>46059.0</v>
      </c>
      <c r="E13" s="113" t="s">
        <v>52</v>
      </c>
      <c r="F13" s="109" t="s">
        <v>20</v>
      </c>
      <c r="G13" s="88">
        <f t="shared" si="1"/>
        <v>66.329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 t="s">
        <v>149</v>
      </c>
      <c r="B14" s="110">
        <v>230.0</v>
      </c>
      <c r="C14" s="111" t="s">
        <v>186</v>
      </c>
      <c r="D14" s="112">
        <v>46058.0</v>
      </c>
      <c r="E14" s="113" t="s">
        <v>52</v>
      </c>
      <c r="F14" s="109" t="s">
        <v>20</v>
      </c>
      <c r="G14" s="88">
        <f t="shared" si="1"/>
        <v>23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 t="s">
        <v>50</v>
      </c>
      <c r="B15" s="110">
        <v>6225.0</v>
      </c>
      <c r="C15" s="111" t="s">
        <v>187</v>
      </c>
      <c r="D15" s="112">
        <v>46058.0</v>
      </c>
      <c r="E15" s="113" t="s">
        <v>52</v>
      </c>
      <c r="F15" s="109" t="s">
        <v>21</v>
      </c>
      <c r="G15" s="88">
        <f t="shared" si="1"/>
        <v>622.5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09" t="s">
        <v>93</v>
      </c>
      <c r="B16" s="110">
        <v>119.0</v>
      </c>
      <c r="C16" s="111" t="s">
        <v>188</v>
      </c>
      <c r="D16" s="112">
        <v>46057.0</v>
      </c>
      <c r="E16" s="113" t="s">
        <v>52</v>
      </c>
      <c r="F16" s="109" t="s">
        <v>20</v>
      </c>
      <c r="G16" s="88">
        <f t="shared" si="1"/>
        <v>11.9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9" t="s">
        <v>108</v>
      </c>
      <c r="B17" s="110">
        <v>1083.0</v>
      </c>
      <c r="C17" s="111" t="s">
        <v>189</v>
      </c>
      <c r="D17" s="112">
        <v>46056.0</v>
      </c>
      <c r="E17" s="113" t="s">
        <v>52</v>
      </c>
      <c r="F17" s="109" t="s">
        <v>20</v>
      </c>
      <c r="G17" s="88">
        <f t="shared" si="1"/>
        <v>108.3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09" t="s">
        <v>108</v>
      </c>
      <c r="B18" s="110">
        <v>1812.5</v>
      </c>
      <c r="C18" s="111" t="s">
        <v>190</v>
      </c>
      <c r="D18" s="112">
        <v>46056.0</v>
      </c>
      <c r="E18" s="113" t="s">
        <v>52</v>
      </c>
      <c r="F18" s="109" t="s">
        <v>20</v>
      </c>
      <c r="G18" s="88">
        <f t="shared" si="1"/>
        <v>181.25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09" t="s">
        <v>191</v>
      </c>
      <c r="B19" s="110">
        <v>1488.0</v>
      </c>
      <c r="C19" s="111" t="s">
        <v>192</v>
      </c>
      <c r="D19" s="112">
        <v>46056.0</v>
      </c>
      <c r="E19" s="113" t="s">
        <v>52</v>
      </c>
      <c r="F19" s="109" t="s">
        <v>20</v>
      </c>
      <c r="G19" s="88">
        <f t="shared" si="1"/>
        <v>148.8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09" t="s">
        <v>193</v>
      </c>
      <c r="B20" s="110">
        <v>996.6</v>
      </c>
      <c r="C20" s="111" t="s">
        <v>194</v>
      </c>
      <c r="D20" s="112">
        <v>46055.0</v>
      </c>
      <c r="E20" s="113" t="s">
        <v>52</v>
      </c>
      <c r="F20" s="109" t="s">
        <v>20</v>
      </c>
      <c r="G20" s="88">
        <f t="shared" si="1"/>
        <v>99.66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09" t="s">
        <v>195</v>
      </c>
      <c r="B21" s="110">
        <v>1990.0</v>
      </c>
      <c r="C21" s="111" t="s">
        <v>196</v>
      </c>
      <c r="D21" s="112">
        <v>46055.0</v>
      </c>
      <c r="E21" s="113" t="s">
        <v>52</v>
      </c>
      <c r="F21" s="109" t="s">
        <v>41</v>
      </c>
      <c r="G21" s="88">
        <f t="shared" si="1"/>
        <v>199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09" t="s">
        <v>197</v>
      </c>
      <c r="B22" s="110">
        <v>-1100.0</v>
      </c>
      <c r="C22" s="111" t="s">
        <v>198</v>
      </c>
      <c r="D22" s="112">
        <v>46056.0</v>
      </c>
      <c r="E22" s="113" t="s">
        <v>52</v>
      </c>
      <c r="F22" s="109" t="s">
        <v>20</v>
      </c>
      <c r="G22" s="88">
        <f t="shared" si="1"/>
        <v>-110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09" t="s">
        <v>199</v>
      </c>
      <c r="B23" s="110">
        <v>975.0</v>
      </c>
      <c r="C23" s="111" t="s">
        <v>200</v>
      </c>
      <c r="D23" s="112">
        <v>46065.0</v>
      </c>
      <c r="E23" s="113" t="s">
        <v>52</v>
      </c>
      <c r="F23" s="109" t="s">
        <v>21</v>
      </c>
      <c r="G23" s="88">
        <f t="shared" si="1"/>
        <v>97.5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09" t="s">
        <v>201</v>
      </c>
      <c r="B24" s="110">
        <v>2100.0</v>
      </c>
      <c r="C24" s="111" t="s">
        <v>202</v>
      </c>
      <c r="D24" s="112">
        <v>46065.0</v>
      </c>
      <c r="E24" s="113" t="s">
        <v>52</v>
      </c>
      <c r="F24" s="109" t="s">
        <v>21</v>
      </c>
      <c r="G24" s="88">
        <f t="shared" si="1"/>
        <v>210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09" t="s">
        <v>115</v>
      </c>
      <c r="B25" s="110">
        <v>630.0</v>
      </c>
      <c r="C25" s="111" t="s">
        <v>203</v>
      </c>
      <c r="D25" s="112">
        <v>46064.0</v>
      </c>
      <c r="E25" s="113" t="s">
        <v>52</v>
      </c>
      <c r="F25" s="109" t="s">
        <v>20</v>
      </c>
      <c r="G25" s="88">
        <f t="shared" si="1"/>
        <v>63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09" t="s">
        <v>199</v>
      </c>
      <c r="B26" s="110">
        <v>1735.3</v>
      </c>
      <c r="C26" s="111" t="s">
        <v>204</v>
      </c>
      <c r="D26" s="112">
        <v>46064.0</v>
      </c>
      <c r="E26" s="113" t="s">
        <v>52</v>
      </c>
      <c r="F26" s="109" t="s">
        <v>21</v>
      </c>
      <c r="G26" s="88">
        <f t="shared" si="1"/>
        <v>173.53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09" t="s">
        <v>199</v>
      </c>
      <c r="B27" s="110">
        <v>1735.3</v>
      </c>
      <c r="C27" s="111" t="s">
        <v>205</v>
      </c>
      <c r="D27" s="112">
        <v>46064.0</v>
      </c>
      <c r="E27" s="113" t="s">
        <v>52</v>
      </c>
      <c r="F27" s="109" t="s">
        <v>21</v>
      </c>
      <c r="G27" s="88">
        <f t="shared" si="1"/>
        <v>173.53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09" t="s">
        <v>206</v>
      </c>
      <c r="B28" s="110">
        <v>572.55</v>
      </c>
      <c r="C28" s="111" t="s">
        <v>207</v>
      </c>
      <c r="D28" s="112">
        <v>46064.0</v>
      </c>
      <c r="E28" s="113" t="s">
        <v>52</v>
      </c>
      <c r="F28" s="109" t="s">
        <v>20</v>
      </c>
      <c r="G28" s="88">
        <f t="shared" si="1"/>
        <v>57.255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09" t="s">
        <v>93</v>
      </c>
      <c r="B29" s="110">
        <v>119.0</v>
      </c>
      <c r="C29" s="111" t="s">
        <v>208</v>
      </c>
      <c r="D29" s="112">
        <v>46064.0</v>
      </c>
      <c r="E29" s="113" t="s">
        <v>52</v>
      </c>
      <c r="F29" s="109" t="s">
        <v>20</v>
      </c>
      <c r="G29" s="88">
        <f t="shared" si="1"/>
        <v>11.9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09" t="s">
        <v>77</v>
      </c>
      <c r="B30" s="110">
        <v>500.0</v>
      </c>
      <c r="C30" s="111" t="s">
        <v>209</v>
      </c>
      <c r="D30" s="112">
        <v>46063.0</v>
      </c>
      <c r="E30" s="113" t="s">
        <v>52</v>
      </c>
      <c r="F30" s="109" t="s">
        <v>55</v>
      </c>
      <c r="G30" s="88">
        <f t="shared" si="1"/>
        <v>50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09" t="s">
        <v>199</v>
      </c>
      <c r="B31" s="110">
        <v>1139.6</v>
      </c>
      <c r="C31" s="111" t="s">
        <v>210</v>
      </c>
      <c r="D31" s="112">
        <v>46063.0</v>
      </c>
      <c r="E31" s="113" t="s">
        <v>52</v>
      </c>
      <c r="F31" s="109" t="s">
        <v>21</v>
      </c>
      <c r="G31" s="88">
        <f t="shared" si="1"/>
        <v>113.96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09" t="s">
        <v>174</v>
      </c>
      <c r="B32" s="110">
        <v>12090.0</v>
      </c>
      <c r="C32" s="111" t="s">
        <v>211</v>
      </c>
      <c r="D32" s="112">
        <v>46063.0</v>
      </c>
      <c r="E32" s="113" t="s">
        <v>52</v>
      </c>
      <c r="F32" s="109" t="s">
        <v>21</v>
      </c>
      <c r="G32" s="88">
        <f t="shared" si="1"/>
        <v>1209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09" t="s">
        <v>212</v>
      </c>
      <c r="B33" s="110">
        <v>590.0</v>
      </c>
      <c r="C33" s="111" t="s">
        <v>213</v>
      </c>
      <c r="D33" s="112">
        <v>46062.0</v>
      </c>
      <c r="E33" s="113" t="s">
        <v>52</v>
      </c>
      <c r="F33" s="109" t="s">
        <v>20</v>
      </c>
      <c r="G33" s="88">
        <f t="shared" si="1"/>
        <v>59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09" t="s">
        <v>91</v>
      </c>
      <c r="B34" s="110">
        <v>1250.0</v>
      </c>
      <c r="C34" s="111" t="s">
        <v>214</v>
      </c>
      <c r="D34" s="112">
        <v>46062.0</v>
      </c>
      <c r="E34" s="113" t="s">
        <v>52</v>
      </c>
      <c r="F34" s="109" t="s">
        <v>55</v>
      </c>
      <c r="G34" s="88">
        <f t="shared" si="1"/>
        <v>125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09" t="s">
        <v>112</v>
      </c>
      <c r="B35" s="110">
        <v>4911.37</v>
      </c>
      <c r="C35" s="111" t="s">
        <v>215</v>
      </c>
      <c r="D35" s="112">
        <v>46071.0</v>
      </c>
      <c r="E35" s="113" t="s">
        <v>52</v>
      </c>
      <c r="F35" s="109" t="s">
        <v>20</v>
      </c>
      <c r="G35" s="88">
        <f t="shared" si="1"/>
        <v>491.137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09" t="s">
        <v>216</v>
      </c>
      <c r="B36" s="110">
        <v>652.0</v>
      </c>
      <c r="C36" s="111" t="s">
        <v>217</v>
      </c>
      <c r="D36" s="112">
        <v>46073.0</v>
      </c>
      <c r="E36" s="113" t="s">
        <v>52</v>
      </c>
      <c r="F36" s="109" t="s">
        <v>20</v>
      </c>
      <c r="G36" s="88">
        <f t="shared" si="1"/>
        <v>65.2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09" t="s">
        <v>218</v>
      </c>
      <c r="B37" s="110">
        <v>2120.0</v>
      </c>
      <c r="C37" s="111" t="s">
        <v>219</v>
      </c>
      <c r="D37" s="112">
        <v>46069.0</v>
      </c>
      <c r="E37" s="113" t="s">
        <v>52</v>
      </c>
      <c r="F37" s="109" t="s">
        <v>20</v>
      </c>
      <c r="G37" s="88">
        <f t="shared" si="1"/>
        <v>212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09" t="s">
        <v>220</v>
      </c>
      <c r="B38" s="110">
        <v>810.0</v>
      </c>
      <c r="C38" s="111" t="s">
        <v>221</v>
      </c>
      <c r="D38" s="112">
        <v>46073.0</v>
      </c>
      <c r="E38" s="113" t="s">
        <v>52</v>
      </c>
      <c r="F38" s="109" t="s">
        <v>20</v>
      </c>
      <c r="G38" s="88">
        <f t="shared" si="1"/>
        <v>81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109" t="s">
        <v>93</v>
      </c>
      <c r="B39" s="110">
        <v>119.0</v>
      </c>
      <c r="C39" s="111" t="s">
        <v>222</v>
      </c>
      <c r="D39" s="112">
        <v>46071.0</v>
      </c>
      <c r="E39" s="113" t="s">
        <v>52</v>
      </c>
      <c r="F39" s="109" t="s">
        <v>20</v>
      </c>
      <c r="G39" s="88">
        <f t="shared" si="1"/>
        <v>11.9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109" t="s">
        <v>108</v>
      </c>
      <c r="B40" s="110">
        <v>2587.5</v>
      </c>
      <c r="C40" s="111" t="s">
        <v>223</v>
      </c>
      <c r="D40" s="112">
        <v>46071.0</v>
      </c>
      <c r="E40" s="113" t="s">
        <v>52</v>
      </c>
      <c r="F40" s="109" t="s">
        <v>20</v>
      </c>
      <c r="G40" s="88">
        <f t="shared" si="1"/>
        <v>258.75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109" t="s">
        <v>224</v>
      </c>
      <c r="B41" s="110">
        <v>270.0</v>
      </c>
      <c r="C41" s="111" t="s">
        <v>225</v>
      </c>
      <c r="D41" s="112">
        <v>46072.0</v>
      </c>
      <c r="E41" s="113" t="s">
        <v>52</v>
      </c>
      <c r="F41" s="109" t="s">
        <v>20</v>
      </c>
      <c r="G41" s="88">
        <f t="shared" si="1"/>
        <v>27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09" t="s">
        <v>226</v>
      </c>
      <c r="B42" s="110">
        <v>682.8</v>
      </c>
      <c r="C42" s="111" t="s">
        <v>227</v>
      </c>
      <c r="D42" s="112">
        <v>46069.0</v>
      </c>
      <c r="E42" s="113" t="s">
        <v>52</v>
      </c>
      <c r="F42" s="109" t="s">
        <v>21</v>
      </c>
      <c r="G42" s="88">
        <f t="shared" si="1"/>
        <v>68.28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09" t="s">
        <v>79</v>
      </c>
      <c r="B43" s="110">
        <v>-375.0</v>
      </c>
      <c r="C43" s="111" t="s">
        <v>228</v>
      </c>
      <c r="D43" s="112">
        <v>46071.0</v>
      </c>
      <c r="E43" s="113" t="s">
        <v>52</v>
      </c>
      <c r="F43" s="109" t="s">
        <v>55</v>
      </c>
      <c r="G43" s="88">
        <f t="shared" si="1"/>
        <v>-37.5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109" t="s">
        <v>73</v>
      </c>
      <c r="B44" s="110">
        <v>150.0</v>
      </c>
      <c r="C44" s="111" t="s">
        <v>229</v>
      </c>
      <c r="D44" s="112">
        <v>46081.0</v>
      </c>
      <c r="E44" s="113" t="s">
        <v>52</v>
      </c>
      <c r="F44" s="109" t="s">
        <v>55</v>
      </c>
      <c r="G44" s="88">
        <f t="shared" si="1"/>
        <v>15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109" t="s">
        <v>70</v>
      </c>
      <c r="B45" s="110">
        <v>850.0</v>
      </c>
      <c r="C45" s="111" t="s">
        <v>230</v>
      </c>
      <c r="D45" s="112">
        <v>46081.0</v>
      </c>
      <c r="E45" s="113" t="s">
        <v>52</v>
      </c>
      <c r="F45" s="109" t="s">
        <v>55</v>
      </c>
      <c r="G45" s="88">
        <f t="shared" si="1"/>
        <v>85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109" t="s">
        <v>134</v>
      </c>
      <c r="B46" s="110">
        <v>650.0</v>
      </c>
      <c r="C46" s="111" t="s">
        <v>231</v>
      </c>
      <c r="D46" s="112">
        <v>46081.0</v>
      </c>
      <c r="E46" s="113" t="s">
        <v>52</v>
      </c>
      <c r="F46" s="109" t="s">
        <v>55</v>
      </c>
      <c r="G46" s="88">
        <f t="shared" si="1"/>
        <v>65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109" t="s">
        <v>136</v>
      </c>
      <c r="B47" s="110">
        <v>1825.0</v>
      </c>
      <c r="C47" s="111" t="s">
        <v>232</v>
      </c>
      <c r="D47" s="112">
        <v>46081.0</v>
      </c>
      <c r="E47" s="113" t="s">
        <v>52</v>
      </c>
      <c r="F47" s="109" t="s">
        <v>55</v>
      </c>
      <c r="G47" s="88">
        <f t="shared" si="1"/>
        <v>182.5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109" t="s">
        <v>68</v>
      </c>
      <c r="B48" s="110">
        <v>150.0</v>
      </c>
      <c r="C48" s="111" t="s">
        <v>233</v>
      </c>
      <c r="D48" s="112">
        <v>46081.0</v>
      </c>
      <c r="E48" s="113" t="s">
        <v>52</v>
      </c>
      <c r="F48" s="109" t="s">
        <v>55</v>
      </c>
      <c r="G48" s="88">
        <f t="shared" si="1"/>
        <v>15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109" t="s">
        <v>91</v>
      </c>
      <c r="B49" s="110">
        <v>475.0</v>
      </c>
      <c r="C49" s="111" t="s">
        <v>234</v>
      </c>
      <c r="D49" s="112">
        <v>46081.0</v>
      </c>
      <c r="E49" s="113" t="s">
        <v>52</v>
      </c>
      <c r="F49" s="109" t="s">
        <v>55</v>
      </c>
      <c r="G49" s="88">
        <f t="shared" si="1"/>
        <v>47.5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109" t="s">
        <v>93</v>
      </c>
      <c r="B50" s="110">
        <v>1200.0</v>
      </c>
      <c r="C50" s="111" t="s">
        <v>235</v>
      </c>
      <c r="D50" s="112">
        <v>46081.0</v>
      </c>
      <c r="E50" s="113" t="s">
        <v>52</v>
      </c>
      <c r="F50" s="109" t="s">
        <v>55</v>
      </c>
      <c r="G50" s="88">
        <f t="shared" si="1"/>
        <v>120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109" t="s">
        <v>89</v>
      </c>
      <c r="B51" s="110">
        <v>962.5</v>
      </c>
      <c r="C51" s="111" t="s">
        <v>236</v>
      </c>
      <c r="D51" s="112">
        <v>46081.0</v>
      </c>
      <c r="E51" s="113" t="s">
        <v>52</v>
      </c>
      <c r="F51" s="109" t="s">
        <v>55</v>
      </c>
      <c r="G51" s="88">
        <f t="shared" si="1"/>
        <v>96.25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109" t="s">
        <v>77</v>
      </c>
      <c r="B52" s="110">
        <v>3300.0</v>
      </c>
      <c r="C52" s="111" t="s">
        <v>237</v>
      </c>
      <c r="D52" s="112">
        <v>46081.0</v>
      </c>
      <c r="E52" s="113" t="s">
        <v>52</v>
      </c>
      <c r="F52" s="109" t="s">
        <v>55</v>
      </c>
      <c r="G52" s="88">
        <f t="shared" si="1"/>
        <v>330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109" t="s">
        <v>115</v>
      </c>
      <c r="B53" s="110">
        <v>2281.25</v>
      </c>
      <c r="C53" s="111" t="s">
        <v>238</v>
      </c>
      <c r="D53" s="112">
        <v>46081.0</v>
      </c>
      <c r="E53" s="113" t="s">
        <v>52</v>
      </c>
      <c r="F53" s="109" t="s">
        <v>55</v>
      </c>
      <c r="G53" s="88">
        <f t="shared" si="1"/>
        <v>228.125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109" t="s">
        <v>239</v>
      </c>
      <c r="B54" s="110">
        <v>4350.0</v>
      </c>
      <c r="C54" s="111" t="s">
        <v>240</v>
      </c>
      <c r="D54" s="112">
        <v>46081.0</v>
      </c>
      <c r="E54" s="113" t="s">
        <v>52</v>
      </c>
      <c r="F54" s="109" t="s">
        <v>55</v>
      </c>
      <c r="G54" s="88">
        <f t="shared" si="1"/>
        <v>435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109" t="s">
        <v>144</v>
      </c>
      <c r="B55" s="110">
        <v>475.0</v>
      </c>
      <c r="C55" s="111" t="s">
        <v>241</v>
      </c>
      <c r="D55" s="112">
        <v>46081.0</v>
      </c>
      <c r="E55" s="113" t="s">
        <v>52</v>
      </c>
      <c r="F55" s="109" t="s">
        <v>55</v>
      </c>
      <c r="G55" s="88">
        <f t="shared" si="1"/>
        <v>47.5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109" t="s">
        <v>146</v>
      </c>
      <c r="B56" s="110">
        <v>475.0</v>
      </c>
      <c r="C56" s="111" t="s">
        <v>242</v>
      </c>
      <c r="D56" s="112">
        <v>46081.0</v>
      </c>
      <c r="E56" s="113" t="s">
        <v>52</v>
      </c>
      <c r="F56" s="109" t="s">
        <v>55</v>
      </c>
      <c r="G56" s="88">
        <f t="shared" si="1"/>
        <v>47.5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109" t="s">
        <v>243</v>
      </c>
      <c r="B57" s="110">
        <v>750.0</v>
      </c>
      <c r="C57" s="111" t="s">
        <v>244</v>
      </c>
      <c r="D57" s="112">
        <v>46081.0</v>
      </c>
      <c r="E57" s="113" t="s">
        <v>52</v>
      </c>
      <c r="F57" s="109" t="s">
        <v>55</v>
      </c>
      <c r="G57" s="88">
        <f t="shared" si="1"/>
        <v>75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109" t="s">
        <v>97</v>
      </c>
      <c r="B58" s="110">
        <v>475.0</v>
      </c>
      <c r="C58" s="111" t="s">
        <v>245</v>
      </c>
      <c r="D58" s="112">
        <v>46081.0</v>
      </c>
      <c r="E58" s="113" t="s">
        <v>52</v>
      </c>
      <c r="F58" s="109" t="s">
        <v>55</v>
      </c>
      <c r="G58" s="88">
        <f t="shared" si="1"/>
        <v>47.5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109" t="s">
        <v>149</v>
      </c>
      <c r="B59" s="110">
        <v>1312.5</v>
      </c>
      <c r="C59" s="111" t="s">
        <v>246</v>
      </c>
      <c r="D59" s="112">
        <v>46081.0</v>
      </c>
      <c r="E59" s="113" t="s">
        <v>52</v>
      </c>
      <c r="F59" s="109" t="s">
        <v>55</v>
      </c>
      <c r="G59" s="88">
        <f t="shared" si="1"/>
        <v>131.25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09" t="s">
        <v>152</v>
      </c>
      <c r="B60" s="110">
        <v>1844.0</v>
      </c>
      <c r="C60" s="111" t="s">
        <v>247</v>
      </c>
      <c r="D60" s="112">
        <v>46081.0</v>
      </c>
      <c r="E60" s="113" t="s">
        <v>52</v>
      </c>
      <c r="F60" s="109" t="s">
        <v>55</v>
      </c>
      <c r="G60" s="88">
        <f t="shared" si="1"/>
        <v>184.4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109" t="s">
        <v>154</v>
      </c>
      <c r="B61" s="110">
        <v>400.0</v>
      </c>
      <c r="C61" s="111" t="s">
        <v>248</v>
      </c>
      <c r="D61" s="112">
        <v>46081.0</v>
      </c>
      <c r="E61" s="113" t="s">
        <v>52</v>
      </c>
      <c r="F61" s="109" t="s">
        <v>55</v>
      </c>
      <c r="G61" s="88">
        <f t="shared" si="1"/>
        <v>40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109" t="s">
        <v>64</v>
      </c>
      <c r="B62" s="110">
        <v>475.0</v>
      </c>
      <c r="C62" s="111" t="s">
        <v>249</v>
      </c>
      <c r="D62" s="112">
        <v>46081.0</v>
      </c>
      <c r="E62" s="113" t="s">
        <v>52</v>
      </c>
      <c r="F62" s="109" t="s">
        <v>55</v>
      </c>
      <c r="G62" s="88">
        <f t="shared" si="1"/>
        <v>47.5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109" t="s">
        <v>159</v>
      </c>
      <c r="B63" s="110">
        <v>475.0</v>
      </c>
      <c r="C63" s="111" t="s">
        <v>250</v>
      </c>
      <c r="D63" s="112">
        <v>46081.0</v>
      </c>
      <c r="E63" s="113" t="s">
        <v>52</v>
      </c>
      <c r="F63" s="109" t="s">
        <v>55</v>
      </c>
      <c r="G63" s="88">
        <f t="shared" si="1"/>
        <v>47.5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109" t="s">
        <v>163</v>
      </c>
      <c r="B64" s="110">
        <v>475.0</v>
      </c>
      <c r="C64" s="111" t="s">
        <v>251</v>
      </c>
      <c r="D64" s="112">
        <v>46081.0</v>
      </c>
      <c r="E64" s="113" t="s">
        <v>52</v>
      </c>
      <c r="F64" s="109" t="s">
        <v>55</v>
      </c>
      <c r="G64" s="88">
        <f t="shared" si="1"/>
        <v>47.5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109" t="s">
        <v>161</v>
      </c>
      <c r="B65" s="110">
        <v>1100.0</v>
      </c>
      <c r="C65" s="111" t="s">
        <v>252</v>
      </c>
      <c r="D65" s="112">
        <v>46081.0</v>
      </c>
      <c r="E65" s="113" t="s">
        <v>52</v>
      </c>
      <c r="F65" s="109" t="s">
        <v>55</v>
      </c>
      <c r="G65" s="88">
        <f t="shared" si="1"/>
        <v>110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109" t="s">
        <v>174</v>
      </c>
      <c r="B66" s="110">
        <v>11970.0</v>
      </c>
      <c r="C66" s="111" t="s">
        <v>253</v>
      </c>
      <c r="D66" s="112">
        <v>46080.0</v>
      </c>
      <c r="E66" s="113" t="s">
        <v>52</v>
      </c>
      <c r="F66" s="109" t="s">
        <v>21</v>
      </c>
      <c r="G66" s="88">
        <f t="shared" si="1"/>
        <v>1197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109" t="s">
        <v>254</v>
      </c>
      <c r="B67" s="110">
        <v>8556.56</v>
      </c>
      <c r="C67" s="111" t="s">
        <v>255</v>
      </c>
      <c r="D67" s="112">
        <v>46079.0</v>
      </c>
      <c r="E67" s="113" t="s">
        <v>52</v>
      </c>
      <c r="F67" s="109" t="s">
        <v>21</v>
      </c>
      <c r="G67" s="88">
        <f t="shared" si="1"/>
        <v>855.656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109" t="s">
        <v>93</v>
      </c>
      <c r="B68" s="110">
        <v>12900.0</v>
      </c>
      <c r="C68" s="111" t="s">
        <v>256</v>
      </c>
      <c r="D68" s="112">
        <v>46079.0</v>
      </c>
      <c r="E68" s="113" t="s">
        <v>52</v>
      </c>
      <c r="F68" s="109" t="s">
        <v>20</v>
      </c>
      <c r="G68" s="88">
        <f t="shared" si="1"/>
        <v>1290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109" t="s">
        <v>257</v>
      </c>
      <c r="B69" s="110">
        <v>208.77</v>
      </c>
      <c r="C69" s="111" t="s">
        <v>258</v>
      </c>
      <c r="D69" s="112">
        <v>46079.0</v>
      </c>
      <c r="E69" s="113" t="s">
        <v>52</v>
      </c>
      <c r="F69" s="109" t="s">
        <v>20</v>
      </c>
      <c r="G69" s="88">
        <f t="shared" si="1"/>
        <v>20.877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109" t="s">
        <v>199</v>
      </c>
      <c r="B70" s="110">
        <v>6475.0</v>
      </c>
      <c r="C70" s="111" t="s">
        <v>259</v>
      </c>
      <c r="D70" s="112">
        <v>46078.0</v>
      </c>
      <c r="E70" s="113" t="s">
        <v>52</v>
      </c>
      <c r="F70" s="109" t="s">
        <v>21</v>
      </c>
      <c r="G70" s="88">
        <f t="shared" si="1"/>
        <v>647.5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109" t="s">
        <v>93</v>
      </c>
      <c r="B71" s="110">
        <v>119.0</v>
      </c>
      <c r="C71" s="111" t="s">
        <v>260</v>
      </c>
      <c r="D71" s="112">
        <v>46078.0</v>
      </c>
      <c r="E71" s="113" t="s">
        <v>52</v>
      </c>
      <c r="F71" s="109" t="s">
        <v>20</v>
      </c>
      <c r="G71" s="88">
        <f t="shared" si="1"/>
        <v>11.9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109" t="s">
        <v>261</v>
      </c>
      <c r="B72" s="110">
        <v>4433.03</v>
      </c>
      <c r="C72" s="111" t="s">
        <v>262</v>
      </c>
      <c r="D72" s="112">
        <v>46077.0</v>
      </c>
      <c r="E72" s="113" t="s">
        <v>52</v>
      </c>
      <c r="F72" s="109" t="s">
        <v>21</v>
      </c>
      <c r="G72" s="88">
        <f t="shared" si="1"/>
        <v>443.303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109" t="s">
        <v>108</v>
      </c>
      <c r="B73" s="110">
        <v>1610.0</v>
      </c>
      <c r="C73" s="111" t="s">
        <v>263</v>
      </c>
      <c r="D73" s="112">
        <v>46077.0</v>
      </c>
      <c r="E73" s="113" t="s">
        <v>52</v>
      </c>
      <c r="F73" s="109" t="s">
        <v>20</v>
      </c>
      <c r="G73" s="88">
        <f t="shared" si="1"/>
        <v>161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109" t="s">
        <v>264</v>
      </c>
      <c r="B74" s="110">
        <v>820.0</v>
      </c>
      <c r="C74" s="111" t="s">
        <v>265</v>
      </c>
      <c r="D74" s="112">
        <v>46077.0</v>
      </c>
      <c r="E74" s="113" t="s">
        <v>52</v>
      </c>
      <c r="F74" s="109" t="s">
        <v>20</v>
      </c>
      <c r="G74" s="88">
        <f t="shared" si="1"/>
        <v>82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109" t="s">
        <v>197</v>
      </c>
      <c r="B75" s="110">
        <v>3584.23</v>
      </c>
      <c r="C75" s="111" t="s">
        <v>266</v>
      </c>
      <c r="D75" s="112">
        <v>46077.0</v>
      </c>
      <c r="E75" s="113" t="s">
        <v>52</v>
      </c>
      <c r="F75" s="109" t="s">
        <v>20</v>
      </c>
      <c r="G75" s="88">
        <f t="shared" si="1"/>
        <v>358.423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109" t="s">
        <v>117</v>
      </c>
      <c r="B76" s="110">
        <v>1323.23</v>
      </c>
      <c r="C76" s="111" t="s">
        <v>267</v>
      </c>
      <c r="D76" s="112">
        <v>46076.0</v>
      </c>
      <c r="E76" s="113" t="s">
        <v>52</v>
      </c>
      <c r="F76" s="109" t="s">
        <v>21</v>
      </c>
      <c r="G76" s="88">
        <f t="shared" si="1"/>
        <v>132.323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109" t="s">
        <v>199</v>
      </c>
      <c r="B77" s="110">
        <v>945.09</v>
      </c>
      <c r="C77" s="111" t="s">
        <v>268</v>
      </c>
      <c r="D77" s="112">
        <v>46076.0</v>
      </c>
      <c r="E77" s="113" t="s">
        <v>52</v>
      </c>
      <c r="F77" s="109" t="s">
        <v>21</v>
      </c>
      <c r="G77" s="88">
        <f t="shared" si="1"/>
        <v>94.509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109" t="s">
        <v>269</v>
      </c>
      <c r="B78" s="110">
        <v>3361.5</v>
      </c>
      <c r="C78" s="111" t="s">
        <v>270</v>
      </c>
      <c r="D78" s="112">
        <v>46076.0</v>
      </c>
      <c r="E78" s="113" t="s">
        <v>52</v>
      </c>
      <c r="F78" s="109" t="s">
        <v>21</v>
      </c>
      <c r="G78" s="88">
        <f t="shared" si="1"/>
        <v>336.15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109"/>
      <c r="B79" s="110"/>
      <c r="C79" s="111"/>
      <c r="D79" s="112"/>
      <c r="E79" s="113"/>
      <c r="F79" s="109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109"/>
      <c r="B80" s="110"/>
      <c r="C80" s="111"/>
      <c r="D80" s="112"/>
      <c r="E80" s="113"/>
      <c r="F80" s="109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109"/>
      <c r="B81" s="110"/>
      <c r="C81" s="111"/>
      <c r="D81" s="112"/>
      <c r="E81" s="113"/>
      <c r="F81" s="109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109"/>
      <c r="B82" s="110"/>
      <c r="C82" s="111"/>
      <c r="D82" s="112"/>
      <c r="E82" s="113"/>
      <c r="F82" s="109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109"/>
      <c r="B83" s="110"/>
      <c r="C83" s="111"/>
      <c r="D83" s="112"/>
      <c r="E83" s="113"/>
      <c r="F83" s="109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109"/>
      <c r="B84" s="110"/>
      <c r="C84" s="111"/>
      <c r="D84" s="112"/>
      <c r="E84" s="113"/>
      <c r="F84" s="109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4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4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4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4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4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4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4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4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4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4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4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4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4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4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4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4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4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4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4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4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4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4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4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4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4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4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4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4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4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4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4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4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4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4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4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4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4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4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4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4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4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4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4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4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4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4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4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4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4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4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4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4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4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4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4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4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4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4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4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4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5"/>
      <c r="V971" s="115"/>
      <c r="W971" s="115"/>
      <c r="X971" s="115"/>
      <c r="Y971" s="115"/>
      <c r="Z971" s="115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5"/>
      <c r="V972" s="115"/>
      <c r="W972" s="115"/>
      <c r="X972" s="115"/>
      <c r="Y972" s="115"/>
      <c r="Z972" s="115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5"/>
      <c r="V973" s="115"/>
      <c r="W973" s="115"/>
      <c r="X973" s="115"/>
      <c r="Y973" s="115"/>
      <c r="Z973" s="115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5"/>
      <c r="V974" s="115"/>
      <c r="W974" s="115"/>
      <c r="X974" s="115"/>
      <c r="Y974" s="115"/>
      <c r="Z974" s="115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5"/>
      <c r="V975" s="115"/>
      <c r="W975" s="115"/>
      <c r="X975" s="115"/>
      <c r="Y975" s="115"/>
      <c r="Z975" s="115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5"/>
      <c r="V976" s="115"/>
      <c r="W976" s="115"/>
      <c r="X976" s="115"/>
      <c r="Y976" s="115"/>
      <c r="Z976" s="115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5"/>
      <c r="V977" s="115"/>
      <c r="W977" s="115"/>
      <c r="X977" s="115"/>
      <c r="Y977" s="115"/>
      <c r="Z977" s="115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5"/>
      <c r="V978" s="115"/>
      <c r="W978" s="115"/>
      <c r="X978" s="115"/>
      <c r="Y978" s="115"/>
      <c r="Z978" s="115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5"/>
      <c r="V979" s="115"/>
      <c r="W979" s="115"/>
      <c r="X979" s="115"/>
      <c r="Y979" s="115"/>
      <c r="Z979" s="115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5"/>
      <c r="V980" s="115"/>
      <c r="W980" s="115"/>
      <c r="X980" s="115"/>
      <c r="Y980" s="115"/>
      <c r="Z980" s="115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5"/>
      <c r="V981" s="115"/>
      <c r="W981" s="115"/>
      <c r="X981" s="115"/>
      <c r="Y981" s="115"/>
      <c r="Z981" s="115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5"/>
      <c r="V982" s="115"/>
      <c r="W982" s="115"/>
      <c r="X982" s="115"/>
      <c r="Y982" s="115"/>
      <c r="Z982" s="115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5"/>
      <c r="V983" s="115"/>
      <c r="W983" s="115"/>
      <c r="X983" s="115"/>
      <c r="Y983" s="115"/>
      <c r="Z983" s="115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5"/>
      <c r="V984" s="115"/>
      <c r="W984" s="115"/>
      <c r="X984" s="115"/>
      <c r="Y984" s="115"/>
      <c r="Z984" s="115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5"/>
      <c r="V985" s="115"/>
      <c r="W985" s="115"/>
      <c r="X985" s="115"/>
      <c r="Y985" s="115"/>
      <c r="Z985" s="115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5"/>
      <c r="V986" s="115"/>
      <c r="W986" s="115"/>
      <c r="X986" s="115"/>
      <c r="Y986" s="115"/>
      <c r="Z986" s="115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5"/>
      <c r="V987" s="115"/>
      <c r="W987" s="115"/>
      <c r="X987" s="115"/>
      <c r="Y987" s="115"/>
      <c r="Z987" s="115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5"/>
      <c r="V988" s="115"/>
      <c r="W988" s="115"/>
      <c r="X988" s="115"/>
      <c r="Y988" s="115"/>
      <c r="Z988" s="115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5"/>
      <c r="V989" s="115"/>
      <c r="W989" s="115"/>
      <c r="X989" s="115"/>
      <c r="Y989" s="115"/>
      <c r="Z989" s="115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5"/>
      <c r="V990" s="115"/>
      <c r="W990" s="115"/>
      <c r="X990" s="115"/>
      <c r="Y990" s="115"/>
      <c r="Z990" s="115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5"/>
      <c r="V991" s="115"/>
      <c r="W991" s="115"/>
      <c r="X991" s="115"/>
      <c r="Y991" s="115"/>
      <c r="Z991" s="115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5"/>
      <c r="V992" s="115"/>
      <c r="W992" s="115"/>
      <c r="X992" s="115"/>
      <c r="Y992" s="115"/>
      <c r="Z992" s="115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5"/>
      <c r="V993" s="115"/>
      <c r="W993" s="115"/>
      <c r="X993" s="115"/>
      <c r="Y993" s="115"/>
      <c r="Z993" s="115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5"/>
      <c r="V994" s="115"/>
      <c r="W994" s="115"/>
      <c r="X994" s="115"/>
      <c r="Y994" s="115"/>
      <c r="Z994" s="115"/>
    </row>
    <row r="995">
      <c r="A995" s="4"/>
      <c r="B995" s="4"/>
      <c r="C995" s="4"/>
      <c r="D995" s="4"/>
      <c r="E995" s="4"/>
      <c r="F995" s="4"/>
      <c r="G995" s="4"/>
      <c r="H995" s="11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5"/>
      <c r="V995" s="115"/>
      <c r="W995" s="115"/>
      <c r="X995" s="115"/>
      <c r="Y995" s="115"/>
      <c r="Z995" s="115"/>
    </row>
    <row r="996">
      <c r="A996" s="4"/>
      <c r="B996" s="4"/>
      <c r="C996" s="4"/>
      <c r="D996" s="4"/>
      <c r="E996" s="4"/>
      <c r="F996" s="4"/>
      <c r="G996" s="4"/>
      <c r="H996" s="11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5"/>
      <c r="V996" s="115"/>
      <c r="W996" s="115"/>
      <c r="X996" s="115"/>
      <c r="Y996" s="115"/>
      <c r="Z996" s="115"/>
    </row>
    <row r="997">
      <c r="A997" s="4"/>
      <c r="B997" s="4"/>
      <c r="C997" s="4"/>
      <c r="D997" s="4"/>
      <c r="E997" s="4"/>
      <c r="F997" s="4"/>
      <c r="G997" s="4"/>
      <c r="H997" s="11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5"/>
      <c r="V997" s="115"/>
      <c r="W997" s="115"/>
      <c r="X997" s="115"/>
      <c r="Y997" s="115"/>
      <c r="Z997" s="115"/>
    </row>
    <row r="998">
      <c r="A998" s="4"/>
      <c r="B998" s="4"/>
      <c r="C998" s="4"/>
      <c r="D998" s="4"/>
      <c r="E998" s="4"/>
      <c r="F998" s="4"/>
      <c r="G998" s="4"/>
      <c r="H998" s="11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5"/>
      <c r="V998" s="115"/>
      <c r="W998" s="115"/>
      <c r="X998" s="115"/>
      <c r="Y998" s="115"/>
      <c r="Z998" s="115"/>
    </row>
    <row r="999">
      <c r="A999" s="4"/>
      <c r="B999" s="4"/>
      <c r="C999" s="4"/>
      <c r="D999" s="4"/>
      <c r="E999" s="4"/>
      <c r="F999" s="4"/>
      <c r="G999" s="4"/>
      <c r="H999" s="11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5"/>
      <c r="V999" s="115"/>
      <c r="W999" s="115"/>
      <c r="X999" s="115"/>
      <c r="Y999" s="115"/>
      <c r="Z999" s="115"/>
    </row>
    <row r="1000">
      <c r="A1000" s="4"/>
      <c r="B1000" s="4"/>
      <c r="C1000" s="4"/>
      <c r="D1000" s="4"/>
      <c r="E1000" s="4"/>
      <c r="F1000" s="4"/>
      <c r="G1000" s="4"/>
      <c r="H1000" s="11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5"/>
      <c r="V1000" s="115"/>
      <c r="W1000" s="115"/>
      <c r="X1000" s="115"/>
      <c r="Y1000" s="115"/>
      <c r="Z1000" s="115"/>
    </row>
    <row r="1001">
      <c r="A1001" s="4"/>
      <c r="B1001" s="4"/>
      <c r="C1001" s="4"/>
      <c r="D1001" s="4"/>
      <c r="E1001" s="4"/>
      <c r="F1001" s="4"/>
      <c r="G1001" s="4"/>
      <c r="H1001" s="11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5"/>
      <c r="V1001" s="115"/>
      <c r="W1001" s="115"/>
      <c r="X1001" s="115"/>
      <c r="Y1001" s="115"/>
      <c r="Z1001" s="115"/>
    </row>
    <row r="1002">
      <c r="A1002" s="4"/>
      <c r="B1002" s="4"/>
      <c r="C1002" s="4"/>
      <c r="D1002" s="4"/>
      <c r="E1002" s="4"/>
      <c r="F1002" s="4"/>
      <c r="G1002" s="4"/>
      <c r="H1002" s="11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5"/>
      <c r="V1002" s="115"/>
      <c r="W1002" s="115"/>
      <c r="X1002" s="115"/>
      <c r="Y1002" s="115"/>
      <c r="Z1002" s="115"/>
    </row>
    <row r="1003">
      <c r="A1003" s="4"/>
      <c r="B1003" s="4"/>
      <c r="C1003" s="4"/>
      <c r="D1003" s="4"/>
      <c r="E1003" s="4"/>
      <c r="F1003" s="4"/>
      <c r="G1003" s="4"/>
      <c r="H1003" s="11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5"/>
      <c r="V1003" s="115"/>
      <c r="W1003" s="115"/>
      <c r="X1003" s="115"/>
      <c r="Y1003" s="115"/>
      <c r="Z1003" s="115"/>
    </row>
    <row r="1004">
      <c r="A1004" s="4"/>
      <c r="B1004" s="4"/>
      <c r="C1004" s="4"/>
      <c r="D1004" s="4"/>
      <c r="E1004" s="4"/>
      <c r="F1004" s="4"/>
      <c r="G1004" s="4"/>
      <c r="H1004" s="11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5"/>
      <c r="V1004" s="115"/>
      <c r="W1004" s="115"/>
      <c r="X1004" s="115"/>
      <c r="Y1004" s="115"/>
      <c r="Z1004" s="115"/>
    </row>
    <row r="1005">
      <c r="A1005" s="4"/>
      <c r="B1005" s="4"/>
      <c r="C1005" s="4"/>
      <c r="D1005" s="4"/>
      <c r="E1005" s="4"/>
      <c r="F1005" s="4"/>
      <c r="G1005" s="4"/>
      <c r="H1005" s="11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5"/>
      <c r="V1005" s="115"/>
      <c r="W1005" s="115"/>
      <c r="X1005" s="115"/>
      <c r="Y1005" s="115"/>
      <c r="Z1005" s="115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15489.978</v>
      </c>
      <c r="C2" s="100">
        <f>SUMIF(F8:F960,"MÉDIA MULTI-ANNONCEURS",G8:G960)</f>
        <v>2107</v>
      </c>
      <c r="D2" s="101">
        <f>SUMIF(F8:F960,"PROMOTIONNEL",G8:G960)</f>
        <v>6896.268</v>
      </c>
      <c r="E2" s="102">
        <f>SUMIF(F8:F960,"DIST. PUBLICITAIRE SOLO",G8:G960)</f>
        <v>3138.685</v>
      </c>
      <c r="F2" s="103">
        <f>SUMIF(F8:F960,"AGENCE PUB",G8:G960)</f>
        <v>3348.025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154899.78</v>
      </c>
      <c r="C4" s="100">
        <f>SUMIF(F8:F960,"MÉDIA MULTI-ANNONCEURS",B8:B960)</f>
        <v>21070</v>
      </c>
      <c r="D4" s="101">
        <f>SUMIF(F8:F960,"PROMOTIONNEL",B8:B960)</f>
        <v>68962.68</v>
      </c>
      <c r="E4" s="102">
        <f>SUMIF(F8:F960,"DIST. PUBLICITAIRE SOLO",B8:B960)</f>
        <v>31386.85</v>
      </c>
      <c r="F4" s="103">
        <f>SUMIF(F8:F960,"AGENCE PUB",B8:B960)</f>
        <v>33480.25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17" t="s">
        <v>271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 t="s">
        <v>134</v>
      </c>
      <c r="B8" s="110">
        <v>650.0</v>
      </c>
      <c r="C8" s="111" t="s">
        <v>272</v>
      </c>
      <c r="D8" s="112">
        <v>46112.0</v>
      </c>
      <c r="E8" s="113" t="s">
        <v>52</v>
      </c>
      <c r="F8" s="109" t="s">
        <v>55</v>
      </c>
      <c r="G8" s="88">
        <f t="shared" ref="G8:G166" si="1">B8*0.1</f>
        <v>65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 t="s">
        <v>70</v>
      </c>
      <c r="B9" s="110">
        <v>850.0</v>
      </c>
      <c r="C9" s="111" t="s">
        <v>273</v>
      </c>
      <c r="D9" s="112">
        <v>46112.0</v>
      </c>
      <c r="E9" s="113" t="s">
        <v>52</v>
      </c>
      <c r="F9" s="109" t="s">
        <v>55</v>
      </c>
      <c r="G9" s="88">
        <f t="shared" si="1"/>
        <v>85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 t="s">
        <v>136</v>
      </c>
      <c r="B10" s="110">
        <v>1350.0</v>
      </c>
      <c r="C10" s="111" t="s">
        <v>274</v>
      </c>
      <c r="D10" s="112">
        <v>46112.0</v>
      </c>
      <c r="E10" s="113" t="s">
        <v>52</v>
      </c>
      <c r="F10" s="109" t="s">
        <v>55</v>
      </c>
      <c r="G10" s="88">
        <f t="shared" si="1"/>
        <v>135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 t="s">
        <v>144</v>
      </c>
      <c r="B11" s="110">
        <v>475.0</v>
      </c>
      <c r="C11" s="111" t="s">
        <v>275</v>
      </c>
      <c r="D11" s="112">
        <v>46112.0</v>
      </c>
      <c r="E11" s="113" t="s">
        <v>52</v>
      </c>
      <c r="F11" s="109" t="s">
        <v>55</v>
      </c>
      <c r="G11" s="88">
        <f t="shared" si="1"/>
        <v>47.5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 t="s">
        <v>68</v>
      </c>
      <c r="B12" s="110">
        <v>150.0</v>
      </c>
      <c r="C12" s="111" t="s">
        <v>276</v>
      </c>
      <c r="D12" s="112">
        <v>46112.0</v>
      </c>
      <c r="E12" s="113" t="s">
        <v>52</v>
      </c>
      <c r="F12" s="109" t="s">
        <v>55</v>
      </c>
      <c r="G12" s="88">
        <f t="shared" si="1"/>
        <v>15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 t="s">
        <v>91</v>
      </c>
      <c r="B13" s="110">
        <v>475.0</v>
      </c>
      <c r="C13" s="111" t="s">
        <v>277</v>
      </c>
      <c r="D13" s="112">
        <v>46112.0</v>
      </c>
      <c r="E13" s="113" t="s">
        <v>52</v>
      </c>
      <c r="F13" s="109" t="s">
        <v>55</v>
      </c>
      <c r="G13" s="88">
        <f t="shared" si="1"/>
        <v>47.5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 t="s">
        <v>93</v>
      </c>
      <c r="B14" s="110">
        <v>1200.0</v>
      </c>
      <c r="C14" s="111" t="s">
        <v>278</v>
      </c>
      <c r="D14" s="112">
        <v>46112.0</v>
      </c>
      <c r="E14" s="113" t="s">
        <v>52</v>
      </c>
      <c r="F14" s="109" t="s">
        <v>55</v>
      </c>
      <c r="G14" s="88">
        <f t="shared" si="1"/>
        <v>120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 t="s">
        <v>128</v>
      </c>
      <c r="B15" s="110">
        <v>475.0</v>
      </c>
      <c r="C15" s="111" t="s">
        <v>279</v>
      </c>
      <c r="D15" s="112">
        <v>46112.0</v>
      </c>
      <c r="E15" s="113" t="s">
        <v>52</v>
      </c>
      <c r="F15" s="109" t="s">
        <v>55</v>
      </c>
      <c r="G15" s="88">
        <f t="shared" si="1"/>
        <v>47.5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09" t="s">
        <v>89</v>
      </c>
      <c r="B16" s="110">
        <v>962.5</v>
      </c>
      <c r="C16" s="111" t="s">
        <v>280</v>
      </c>
      <c r="D16" s="112">
        <v>46112.0</v>
      </c>
      <c r="E16" s="113" t="s">
        <v>52</v>
      </c>
      <c r="F16" s="109" t="s">
        <v>55</v>
      </c>
      <c r="G16" s="88">
        <f t="shared" si="1"/>
        <v>96.25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9" t="s">
        <v>77</v>
      </c>
      <c r="B17" s="110">
        <v>650.0</v>
      </c>
      <c r="C17" s="111" t="s">
        <v>281</v>
      </c>
      <c r="D17" s="112">
        <v>46112.0</v>
      </c>
      <c r="E17" s="113" t="s">
        <v>52</v>
      </c>
      <c r="F17" s="109" t="s">
        <v>55</v>
      </c>
      <c r="G17" s="88">
        <f t="shared" si="1"/>
        <v>65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09" t="s">
        <v>243</v>
      </c>
      <c r="B18" s="110">
        <v>750.0</v>
      </c>
      <c r="C18" s="111" t="s">
        <v>282</v>
      </c>
      <c r="D18" s="112">
        <v>46112.0</v>
      </c>
      <c r="E18" s="113" t="s">
        <v>52</v>
      </c>
      <c r="F18" s="109" t="s">
        <v>55</v>
      </c>
      <c r="G18" s="88">
        <f t="shared" si="1"/>
        <v>75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09" t="s">
        <v>115</v>
      </c>
      <c r="B19" s="110">
        <v>2281.25</v>
      </c>
      <c r="C19" s="111" t="s">
        <v>283</v>
      </c>
      <c r="D19" s="112">
        <v>46112.0</v>
      </c>
      <c r="E19" s="113" t="s">
        <v>52</v>
      </c>
      <c r="F19" s="109" t="s">
        <v>55</v>
      </c>
      <c r="G19" s="88">
        <f t="shared" si="1"/>
        <v>228.125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09" t="s">
        <v>239</v>
      </c>
      <c r="B20" s="110">
        <v>3725.0</v>
      </c>
      <c r="C20" s="111" t="s">
        <v>284</v>
      </c>
      <c r="D20" s="112">
        <v>46112.0</v>
      </c>
      <c r="E20" s="113" t="s">
        <v>52</v>
      </c>
      <c r="F20" s="109" t="s">
        <v>55</v>
      </c>
      <c r="G20" s="88">
        <f t="shared" si="1"/>
        <v>372.5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09" t="s">
        <v>146</v>
      </c>
      <c r="B21" s="110">
        <v>475.0</v>
      </c>
      <c r="C21" s="111" t="s">
        <v>285</v>
      </c>
      <c r="D21" s="112">
        <v>46112.0</v>
      </c>
      <c r="E21" s="113" t="s">
        <v>52</v>
      </c>
      <c r="F21" s="109" t="s">
        <v>55</v>
      </c>
      <c r="G21" s="88">
        <f t="shared" si="1"/>
        <v>47.5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09" t="s">
        <v>97</v>
      </c>
      <c r="B22" s="110">
        <v>537.5</v>
      </c>
      <c r="C22" s="111" t="s">
        <v>286</v>
      </c>
      <c r="D22" s="112">
        <v>46112.0</v>
      </c>
      <c r="E22" s="113" t="s">
        <v>52</v>
      </c>
      <c r="F22" s="109" t="s">
        <v>55</v>
      </c>
      <c r="G22" s="88">
        <f t="shared" si="1"/>
        <v>53.75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09" t="s">
        <v>149</v>
      </c>
      <c r="B23" s="110">
        <v>1775.0</v>
      </c>
      <c r="C23" s="111" t="s">
        <v>287</v>
      </c>
      <c r="D23" s="112">
        <v>46112.0</v>
      </c>
      <c r="E23" s="113" t="s">
        <v>52</v>
      </c>
      <c r="F23" s="109" t="s">
        <v>55</v>
      </c>
      <c r="G23" s="88">
        <f t="shared" si="1"/>
        <v>177.5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09" t="s">
        <v>152</v>
      </c>
      <c r="B24" s="110">
        <v>1844.0</v>
      </c>
      <c r="C24" s="111" t="s">
        <v>288</v>
      </c>
      <c r="D24" s="112">
        <v>46112.0</v>
      </c>
      <c r="E24" s="113" t="s">
        <v>52</v>
      </c>
      <c r="F24" s="109" t="s">
        <v>55</v>
      </c>
      <c r="G24" s="88">
        <f t="shared" si="1"/>
        <v>184.4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09" t="s">
        <v>154</v>
      </c>
      <c r="B25" s="110">
        <v>400.0</v>
      </c>
      <c r="C25" s="111" t="s">
        <v>289</v>
      </c>
      <c r="D25" s="112">
        <v>46112.0</v>
      </c>
      <c r="E25" s="113" t="s">
        <v>52</v>
      </c>
      <c r="F25" s="109" t="s">
        <v>55</v>
      </c>
      <c r="G25" s="88">
        <f t="shared" si="1"/>
        <v>40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09" t="s">
        <v>290</v>
      </c>
      <c r="B26" s="110">
        <v>525.0</v>
      </c>
      <c r="C26" s="111" t="s">
        <v>291</v>
      </c>
      <c r="D26" s="112">
        <v>46112.0</v>
      </c>
      <c r="E26" s="113" t="s">
        <v>52</v>
      </c>
      <c r="F26" s="109" t="s">
        <v>55</v>
      </c>
      <c r="G26" s="88">
        <f t="shared" si="1"/>
        <v>52.5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09" t="s">
        <v>117</v>
      </c>
      <c r="B27" s="110">
        <v>475.0</v>
      </c>
      <c r="C27" s="111" t="s">
        <v>292</v>
      </c>
      <c r="D27" s="112">
        <v>46112.0</v>
      </c>
      <c r="E27" s="113" t="s">
        <v>52</v>
      </c>
      <c r="F27" s="109" t="s">
        <v>55</v>
      </c>
      <c r="G27" s="88">
        <f t="shared" si="1"/>
        <v>47.5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09" t="s">
        <v>159</v>
      </c>
      <c r="B28" s="110">
        <v>475.0</v>
      </c>
      <c r="C28" s="111" t="s">
        <v>293</v>
      </c>
      <c r="D28" s="112">
        <v>46112.0</v>
      </c>
      <c r="E28" s="113" t="s">
        <v>52</v>
      </c>
      <c r="F28" s="109" t="s">
        <v>55</v>
      </c>
      <c r="G28" s="88">
        <f t="shared" si="1"/>
        <v>47.5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09" t="s">
        <v>163</v>
      </c>
      <c r="B29" s="110">
        <v>475.0</v>
      </c>
      <c r="C29" s="111" t="s">
        <v>294</v>
      </c>
      <c r="D29" s="112">
        <v>46112.0</v>
      </c>
      <c r="E29" s="113" t="s">
        <v>52</v>
      </c>
      <c r="F29" s="109" t="s">
        <v>55</v>
      </c>
      <c r="G29" s="88">
        <f t="shared" si="1"/>
        <v>47.5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09" t="s">
        <v>161</v>
      </c>
      <c r="B30" s="110">
        <v>1100.0</v>
      </c>
      <c r="C30" s="111" t="s">
        <v>295</v>
      </c>
      <c r="D30" s="112">
        <v>46112.0</v>
      </c>
      <c r="E30" s="113" t="s">
        <v>52</v>
      </c>
      <c r="F30" s="109" t="s">
        <v>55</v>
      </c>
      <c r="G30" s="88">
        <f t="shared" si="1"/>
        <v>110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09" t="s">
        <v>149</v>
      </c>
      <c r="B31" s="110">
        <v>382.0</v>
      </c>
      <c r="C31" s="111" t="s">
        <v>296</v>
      </c>
      <c r="D31" s="112">
        <v>46112.0</v>
      </c>
      <c r="E31" s="113" t="s">
        <v>52</v>
      </c>
      <c r="F31" s="109" t="s">
        <v>20</v>
      </c>
      <c r="G31" s="88">
        <f t="shared" si="1"/>
        <v>38.2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09" t="s">
        <v>73</v>
      </c>
      <c r="B32" s="110">
        <v>150.0</v>
      </c>
      <c r="C32" s="111" t="s">
        <v>297</v>
      </c>
      <c r="D32" s="112">
        <v>46112.0</v>
      </c>
      <c r="E32" s="113" t="s">
        <v>52</v>
      </c>
      <c r="F32" s="109" t="s">
        <v>55</v>
      </c>
      <c r="G32" s="88">
        <f t="shared" si="1"/>
        <v>15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09" t="s">
        <v>298</v>
      </c>
      <c r="B33" s="110">
        <v>995.0</v>
      </c>
      <c r="C33" s="111" t="s">
        <v>299</v>
      </c>
      <c r="D33" s="112">
        <v>46111.0</v>
      </c>
      <c r="E33" s="113" t="s">
        <v>52</v>
      </c>
      <c r="F33" s="109" t="s">
        <v>41</v>
      </c>
      <c r="G33" s="88">
        <f t="shared" si="1"/>
        <v>99.5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09" t="s">
        <v>108</v>
      </c>
      <c r="B34" s="110">
        <v>1960.0</v>
      </c>
      <c r="C34" s="111" t="s">
        <v>300</v>
      </c>
      <c r="D34" s="112">
        <v>46111.0</v>
      </c>
      <c r="E34" s="113" t="s">
        <v>52</v>
      </c>
      <c r="F34" s="109" t="s">
        <v>20</v>
      </c>
      <c r="G34" s="88">
        <f t="shared" si="1"/>
        <v>196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09" t="s">
        <v>108</v>
      </c>
      <c r="B35" s="110">
        <v>2040.0</v>
      </c>
      <c r="C35" s="111" t="s">
        <v>301</v>
      </c>
      <c r="D35" s="112">
        <v>46111.0</v>
      </c>
      <c r="E35" s="113" t="s">
        <v>52</v>
      </c>
      <c r="F35" s="109" t="s">
        <v>20</v>
      </c>
      <c r="G35" s="88">
        <f t="shared" si="1"/>
        <v>204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09" t="s">
        <v>302</v>
      </c>
      <c r="B36" s="110">
        <v>894.0</v>
      </c>
      <c r="C36" s="111" t="s">
        <v>303</v>
      </c>
      <c r="D36" s="112">
        <v>46108.0</v>
      </c>
      <c r="E36" s="113" t="s">
        <v>52</v>
      </c>
      <c r="F36" s="109" t="s">
        <v>21</v>
      </c>
      <c r="G36" s="88">
        <f t="shared" si="1"/>
        <v>89.4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09" t="s">
        <v>199</v>
      </c>
      <c r="B37" s="110">
        <v>945.09</v>
      </c>
      <c r="C37" s="111" t="s">
        <v>304</v>
      </c>
      <c r="D37" s="112">
        <v>46108.0</v>
      </c>
      <c r="E37" s="113" t="s">
        <v>52</v>
      </c>
      <c r="F37" s="109" t="s">
        <v>21</v>
      </c>
      <c r="G37" s="88">
        <f t="shared" si="1"/>
        <v>94.509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09" t="s">
        <v>199</v>
      </c>
      <c r="B38" s="110">
        <v>975.0</v>
      </c>
      <c r="C38" s="111" t="s">
        <v>305</v>
      </c>
      <c r="D38" s="112">
        <v>46108.0</v>
      </c>
      <c r="E38" s="113" t="s">
        <v>52</v>
      </c>
      <c r="F38" s="109" t="s">
        <v>21</v>
      </c>
      <c r="G38" s="88">
        <f t="shared" si="1"/>
        <v>97.5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109" t="s">
        <v>218</v>
      </c>
      <c r="B39" s="110">
        <v>10133.75</v>
      </c>
      <c r="C39" s="111" t="s">
        <v>306</v>
      </c>
      <c r="D39" s="112">
        <v>46108.0</v>
      </c>
      <c r="E39" s="113" t="s">
        <v>52</v>
      </c>
      <c r="F39" s="109" t="s">
        <v>20</v>
      </c>
      <c r="G39" s="88">
        <f t="shared" si="1"/>
        <v>1013.375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109" t="s">
        <v>307</v>
      </c>
      <c r="B40" s="110">
        <v>2490.0</v>
      </c>
      <c r="C40" s="111" t="s">
        <v>308</v>
      </c>
      <c r="D40" s="112">
        <v>46108.0</v>
      </c>
      <c r="E40" s="113" t="s">
        <v>52</v>
      </c>
      <c r="F40" s="109" t="s">
        <v>41</v>
      </c>
      <c r="G40" s="88">
        <f t="shared" si="1"/>
        <v>249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109" t="s">
        <v>309</v>
      </c>
      <c r="B41" s="110">
        <v>1580.0</v>
      </c>
      <c r="C41" s="111" t="s">
        <v>310</v>
      </c>
      <c r="D41" s="112">
        <v>46107.0</v>
      </c>
      <c r="E41" s="113" t="s">
        <v>52</v>
      </c>
      <c r="F41" s="109" t="s">
        <v>20</v>
      </c>
      <c r="G41" s="88">
        <f t="shared" si="1"/>
        <v>158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09" t="s">
        <v>128</v>
      </c>
      <c r="B42" s="110">
        <v>1218.88</v>
      </c>
      <c r="C42" s="111" t="s">
        <v>311</v>
      </c>
      <c r="D42" s="112">
        <v>46107.0</v>
      </c>
      <c r="E42" s="113" t="s">
        <v>52</v>
      </c>
      <c r="F42" s="109" t="s">
        <v>20</v>
      </c>
      <c r="G42" s="88">
        <f t="shared" si="1"/>
        <v>121.888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09" t="s">
        <v>312</v>
      </c>
      <c r="B43" s="110">
        <v>6274.39</v>
      </c>
      <c r="C43" s="111" t="s">
        <v>313</v>
      </c>
      <c r="D43" s="112">
        <v>46107.0</v>
      </c>
      <c r="E43" s="113" t="s">
        <v>52</v>
      </c>
      <c r="F43" s="109" t="s">
        <v>20</v>
      </c>
      <c r="G43" s="88">
        <f t="shared" si="1"/>
        <v>627.439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109" t="s">
        <v>314</v>
      </c>
      <c r="B44" s="110">
        <v>514.5</v>
      </c>
      <c r="C44" s="111" t="s">
        <v>315</v>
      </c>
      <c r="D44" s="112">
        <v>46107.0</v>
      </c>
      <c r="E44" s="113" t="s">
        <v>52</v>
      </c>
      <c r="F44" s="109" t="s">
        <v>20</v>
      </c>
      <c r="G44" s="88">
        <f t="shared" si="1"/>
        <v>51.45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109" t="s">
        <v>316</v>
      </c>
      <c r="B45" s="110">
        <v>2370.0</v>
      </c>
      <c r="C45" s="111" t="s">
        <v>317</v>
      </c>
      <c r="D45" s="112">
        <v>46106.0</v>
      </c>
      <c r="E45" s="113" t="s">
        <v>52</v>
      </c>
      <c r="F45" s="109" t="s">
        <v>20</v>
      </c>
      <c r="G45" s="88">
        <f t="shared" si="1"/>
        <v>237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109" t="s">
        <v>93</v>
      </c>
      <c r="B46" s="110">
        <v>119.0</v>
      </c>
      <c r="C46" s="111" t="s">
        <v>318</v>
      </c>
      <c r="D46" s="112">
        <v>46106.0</v>
      </c>
      <c r="E46" s="113" t="s">
        <v>52</v>
      </c>
      <c r="F46" s="109" t="s">
        <v>20</v>
      </c>
      <c r="G46" s="88">
        <f t="shared" si="1"/>
        <v>11.9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109" t="s">
        <v>50</v>
      </c>
      <c r="B47" s="110">
        <v>6225.0</v>
      </c>
      <c r="C47" s="111" t="s">
        <v>319</v>
      </c>
      <c r="D47" s="112">
        <v>46104.0</v>
      </c>
      <c r="E47" s="113" t="s">
        <v>52</v>
      </c>
      <c r="F47" s="109" t="s">
        <v>21</v>
      </c>
      <c r="G47" s="88">
        <f t="shared" si="1"/>
        <v>622.5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109" t="s">
        <v>199</v>
      </c>
      <c r="B48" s="110">
        <v>1139.6</v>
      </c>
      <c r="C48" s="111" t="s">
        <v>320</v>
      </c>
      <c r="D48" s="112">
        <v>46108.0</v>
      </c>
      <c r="E48" s="113" t="s">
        <v>52</v>
      </c>
      <c r="F48" s="109" t="s">
        <v>21</v>
      </c>
      <c r="G48" s="88">
        <f t="shared" si="1"/>
        <v>113.96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109" t="s">
        <v>321</v>
      </c>
      <c r="B49" s="110">
        <v>2190.0</v>
      </c>
      <c r="C49" s="111" t="s">
        <v>322</v>
      </c>
      <c r="D49" s="112">
        <v>46101.0</v>
      </c>
      <c r="E49" s="113" t="s">
        <v>52</v>
      </c>
      <c r="F49" s="109" t="s">
        <v>21</v>
      </c>
      <c r="G49" s="88">
        <f t="shared" si="1"/>
        <v>219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109" t="s">
        <v>323</v>
      </c>
      <c r="B50" s="110">
        <v>1755.0</v>
      </c>
      <c r="C50" s="111" t="s">
        <v>324</v>
      </c>
      <c r="D50" s="112">
        <v>46101.0</v>
      </c>
      <c r="E50" s="113" t="s">
        <v>52</v>
      </c>
      <c r="F50" s="109" t="s">
        <v>20</v>
      </c>
      <c r="G50" s="88">
        <f t="shared" si="1"/>
        <v>175.5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109" t="s">
        <v>325</v>
      </c>
      <c r="B51" s="110">
        <v>377.5</v>
      </c>
      <c r="C51" s="111" t="s">
        <v>326</v>
      </c>
      <c r="D51" s="112">
        <v>46101.0</v>
      </c>
      <c r="E51" s="113" t="s">
        <v>52</v>
      </c>
      <c r="F51" s="109" t="s">
        <v>20</v>
      </c>
      <c r="G51" s="88">
        <f t="shared" si="1"/>
        <v>37.75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109" t="s">
        <v>327</v>
      </c>
      <c r="B52" s="110">
        <v>2057.0</v>
      </c>
      <c r="C52" s="111" t="s">
        <v>328</v>
      </c>
      <c r="D52" s="112">
        <v>46101.0</v>
      </c>
      <c r="E52" s="113" t="s">
        <v>52</v>
      </c>
      <c r="F52" s="109" t="s">
        <v>20</v>
      </c>
      <c r="G52" s="88">
        <f t="shared" si="1"/>
        <v>205.7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109" t="s">
        <v>329</v>
      </c>
      <c r="B53" s="110">
        <v>1095.0</v>
      </c>
      <c r="C53" s="111" t="s">
        <v>330</v>
      </c>
      <c r="D53" s="112">
        <v>46101.0</v>
      </c>
      <c r="E53" s="113" t="s">
        <v>52</v>
      </c>
      <c r="F53" s="109" t="s">
        <v>41</v>
      </c>
      <c r="G53" s="88">
        <f t="shared" si="1"/>
        <v>109.5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109" t="s">
        <v>331</v>
      </c>
      <c r="B54" s="110">
        <v>1095.0</v>
      </c>
      <c r="C54" s="111" t="s">
        <v>332</v>
      </c>
      <c r="D54" s="112">
        <v>46101.0</v>
      </c>
      <c r="E54" s="113" t="s">
        <v>52</v>
      </c>
      <c r="F54" s="109" t="s">
        <v>41</v>
      </c>
      <c r="G54" s="88">
        <f t="shared" si="1"/>
        <v>109.5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109" t="s">
        <v>333</v>
      </c>
      <c r="B55" s="110">
        <v>766.0</v>
      </c>
      <c r="C55" s="111" t="s">
        <v>334</v>
      </c>
      <c r="D55" s="112">
        <v>46100.0</v>
      </c>
      <c r="E55" s="113" t="s">
        <v>52</v>
      </c>
      <c r="F55" s="109" t="s">
        <v>20</v>
      </c>
      <c r="G55" s="88">
        <f t="shared" si="1"/>
        <v>76.6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109" t="s">
        <v>333</v>
      </c>
      <c r="B56" s="110">
        <v>728.52</v>
      </c>
      <c r="C56" s="111" t="s">
        <v>335</v>
      </c>
      <c r="D56" s="112">
        <v>46100.0</v>
      </c>
      <c r="E56" s="113" t="s">
        <v>52</v>
      </c>
      <c r="F56" s="109" t="s">
        <v>20</v>
      </c>
      <c r="G56" s="88">
        <f t="shared" si="1"/>
        <v>72.852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109" t="s">
        <v>115</v>
      </c>
      <c r="B57" s="110">
        <v>450.0</v>
      </c>
      <c r="C57" s="111" t="s">
        <v>336</v>
      </c>
      <c r="D57" s="112">
        <v>46100.0</v>
      </c>
      <c r="E57" s="113" t="s">
        <v>52</v>
      </c>
      <c r="F57" s="109" t="s">
        <v>20</v>
      </c>
      <c r="G57" s="88">
        <f t="shared" si="1"/>
        <v>45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109" t="s">
        <v>333</v>
      </c>
      <c r="B58" s="110">
        <v>545.0</v>
      </c>
      <c r="C58" s="111" t="s">
        <v>337</v>
      </c>
      <c r="D58" s="112">
        <v>46100.0</v>
      </c>
      <c r="E58" s="113" t="s">
        <v>52</v>
      </c>
      <c r="F58" s="109" t="s">
        <v>20</v>
      </c>
      <c r="G58" s="88">
        <f t="shared" si="1"/>
        <v>54.5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109" t="s">
        <v>338</v>
      </c>
      <c r="B59" s="110">
        <v>544.5</v>
      </c>
      <c r="C59" s="111" t="s">
        <v>339</v>
      </c>
      <c r="D59" s="112">
        <v>46100.0</v>
      </c>
      <c r="E59" s="113" t="s">
        <v>52</v>
      </c>
      <c r="F59" s="109" t="s">
        <v>20</v>
      </c>
      <c r="G59" s="88">
        <f t="shared" si="1"/>
        <v>54.45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09" t="s">
        <v>340</v>
      </c>
      <c r="B60" s="110">
        <v>2604.0</v>
      </c>
      <c r="C60" s="111" t="s">
        <v>341</v>
      </c>
      <c r="D60" s="112">
        <v>46100.0</v>
      </c>
      <c r="E60" s="113" t="s">
        <v>52</v>
      </c>
      <c r="F60" s="109" t="s">
        <v>20</v>
      </c>
      <c r="G60" s="88">
        <f t="shared" si="1"/>
        <v>260.4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109" t="s">
        <v>342</v>
      </c>
      <c r="B61" s="110">
        <v>750.0</v>
      </c>
      <c r="C61" s="111" t="s">
        <v>343</v>
      </c>
      <c r="D61" s="112">
        <v>46100.0</v>
      </c>
      <c r="E61" s="113" t="s">
        <v>52</v>
      </c>
      <c r="F61" s="109" t="s">
        <v>55</v>
      </c>
      <c r="G61" s="88">
        <f t="shared" si="1"/>
        <v>75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109" t="s">
        <v>269</v>
      </c>
      <c r="B62" s="110">
        <v>2541.0</v>
      </c>
      <c r="C62" s="111" t="s">
        <v>344</v>
      </c>
      <c r="D62" s="112">
        <v>46100.0</v>
      </c>
      <c r="E62" s="113" t="s">
        <v>52</v>
      </c>
      <c r="F62" s="109" t="s">
        <v>21</v>
      </c>
      <c r="G62" s="88">
        <f t="shared" si="1"/>
        <v>254.1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109" t="s">
        <v>345</v>
      </c>
      <c r="B63" s="110">
        <v>60.0</v>
      </c>
      <c r="C63" s="111" t="s">
        <v>346</v>
      </c>
      <c r="D63" s="112">
        <v>46099.0</v>
      </c>
      <c r="E63" s="113" t="s">
        <v>52</v>
      </c>
      <c r="F63" s="109" t="s">
        <v>20</v>
      </c>
      <c r="G63" s="88">
        <f t="shared" si="1"/>
        <v>6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109" t="s">
        <v>115</v>
      </c>
      <c r="B64" s="110">
        <v>300.0</v>
      </c>
      <c r="C64" s="111" t="s">
        <v>347</v>
      </c>
      <c r="D64" s="112">
        <v>46099.0</v>
      </c>
      <c r="E64" s="113" t="s">
        <v>52</v>
      </c>
      <c r="F64" s="109" t="s">
        <v>20</v>
      </c>
      <c r="G64" s="88">
        <f t="shared" si="1"/>
        <v>30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109" t="s">
        <v>348</v>
      </c>
      <c r="B65" s="110">
        <v>1100.62</v>
      </c>
      <c r="C65" s="111" t="s">
        <v>349</v>
      </c>
      <c r="D65" s="112">
        <v>46099.0</v>
      </c>
      <c r="E65" s="113" t="s">
        <v>52</v>
      </c>
      <c r="F65" s="109" t="s">
        <v>20</v>
      </c>
      <c r="G65" s="88">
        <f t="shared" si="1"/>
        <v>110.062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109" t="s">
        <v>93</v>
      </c>
      <c r="B66" s="110">
        <v>119.0</v>
      </c>
      <c r="C66" s="111" t="s">
        <v>350</v>
      </c>
      <c r="D66" s="112">
        <v>46099.0</v>
      </c>
      <c r="E66" s="113" t="s">
        <v>52</v>
      </c>
      <c r="F66" s="109" t="s">
        <v>20</v>
      </c>
      <c r="G66" s="88">
        <f t="shared" si="1"/>
        <v>11.9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109" t="s">
        <v>290</v>
      </c>
      <c r="B67" s="110">
        <v>1000.0</v>
      </c>
      <c r="C67" s="111" t="s">
        <v>351</v>
      </c>
      <c r="D67" s="112">
        <v>46099.0</v>
      </c>
      <c r="E67" s="113" t="s">
        <v>52</v>
      </c>
      <c r="F67" s="109" t="s">
        <v>55</v>
      </c>
      <c r="G67" s="88">
        <f t="shared" si="1"/>
        <v>100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109" t="s">
        <v>149</v>
      </c>
      <c r="B68" s="110">
        <v>5160.0</v>
      </c>
      <c r="C68" s="111" t="s">
        <v>352</v>
      </c>
      <c r="D68" s="112">
        <v>46099.0</v>
      </c>
      <c r="E68" s="113" t="s">
        <v>52</v>
      </c>
      <c r="F68" s="109" t="s">
        <v>55</v>
      </c>
      <c r="G68" s="88">
        <f t="shared" si="1"/>
        <v>516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109" t="s">
        <v>353</v>
      </c>
      <c r="B69" s="110">
        <v>2588.21</v>
      </c>
      <c r="C69" s="111" t="s">
        <v>354</v>
      </c>
      <c r="D69" s="112">
        <v>46099.0</v>
      </c>
      <c r="E69" s="113" t="s">
        <v>52</v>
      </c>
      <c r="F69" s="109" t="s">
        <v>20</v>
      </c>
      <c r="G69" s="88">
        <f t="shared" si="1"/>
        <v>258.821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109" t="s">
        <v>117</v>
      </c>
      <c r="B70" s="110">
        <v>1323.23</v>
      </c>
      <c r="C70" s="111" t="s">
        <v>355</v>
      </c>
      <c r="D70" s="112">
        <v>46098.0</v>
      </c>
      <c r="E70" s="113" t="s">
        <v>52</v>
      </c>
      <c r="F70" s="109" t="s">
        <v>21</v>
      </c>
      <c r="G70" s="88">
        <f t="shared" si="1"/>
        <v>132.323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109" t="s">
        <v>314</v>
      </c>
      <c r="B71" s="110">
        <v>50.0</v>
      </c>
      <c r="C71" s="111" t="s">
        <v>356</v>
      </c>
      <c r="D71" s="112">
        <v>46098.0</v>
      </c>
      <c r="E71" s="113" t="s">
        <v>52</v>
      </c>
      <c r="F71" s="109" t="s">
        <v>20</v>
      </c>
      <c r="G71" s="88">
        <f t="shared" si="1"/>
        <v>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109" t="s">
        <v>333</v>
      </c>
      <c r="B72" s="110">
        <v>987.29</v>
      </c>
      <c r="C72" s="111" t="s">
        <v>357</v>
      </c>
      <c r="D72" s="112">
        <v>46097.0</v>
      </c>
      <c r="E72" s="113" t="s">
        <v>52</v>
      </c>
      <c r="F72" s="109" t="s">
        <v>20</v>
      </c>
      <c r="G72" s="88">
        <f t="shared" si="1"/>
        <v>98.729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109" t="s">
        <v>298</v>
      </c>
      <c r="B73" s="110">
        <v>2645.0</v>
      </c>
      <c r="C73" s="111" t="s">
        <v>358</v>
      </c>
      <c r="D73" s="112">
        <v>46094.0</v>
      </c>
      <c r="E73" s="113" t="s">
        <v>52</v>
      </c>
      <c r="F73" s="109" t="s">
        <v>41</v>
      </c>
      <c r="G73" s="88">
        <f t="shared" si="1"/>
        <v>264.5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109" t="s">
        <v>195</v>
      </c>
      <c r="B74" s="110">
        <v>995.0</v>
      </c>
      <c r="C74" s="111" t="s">
        <v>359</v>
      </c>
      <c r="D74" s="112">
        <v>46094.0</v>
      </c>
      <c r="E74" s="113" t="s">
        <v>52</v>
      </c>
      <c r="F74" s="109" t="s">
        <v>41</v>
      </c>
      <c r="G74" s="88">
        <f t="shared" si="1"/>
        <v>99.5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109" t="s">
        <v>360</v>
      </c>
      <c r="B75" s="110">
        <v>2985.0</v>
      </c>
      <c r="C75" s="111" t="s">
        <v>361</v>
      </c>
      <c r="D75" s="112">
        <v>46094.0</v>
      </c>
      <c r="E75" s="113" t="s">
        <v>52</v>
      </c>
      <c r="F75" s="109" t="s">
        <v>41</v>
      </c>
      <c r="G75" s="88">
        <f t="shared" si="1"/>
        <v>298.5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109" t="s">
        <v>362</v>
      </c>
      <c r="B76" s="110">
        <v>4190.0</v>
      </c>
      <c r="C76" s="111" t="s">
        <v>363</v>
      </c>
      <c r="D76" s="112">
        <v>46094.0</v>
      </c>
      <c r="E76" s="113" t="s">
        <v>52</v>
      </c>
      <c r="F76" s="109" t="s">
        <v>41</v>
      </c>
      <c r="G76" s="88">
        <f t="shared" si="1"/>
        <v>419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109" t="s">
        <v>364</v>
      </c>
      <c r="B77" s="110">
        <v>2985.0</v>
      </c>
      <c r="C77" s="111" t="s">
        <v>365</v>
      </c>
      <c r="D77" s="112">
        <v>46094.0</v>
      </c>
      <c r="E77" s="113" t="s">
        <v>52</v>
      </c>
      <c r="F77" s="109" t="s">
        <v>41</v>
      </c>
      <c r="G77" s="88">
        <f t="shared" si="1"/>
        <v>298.5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109" t="s">
        <v>366</v>
      </c>
      <c r="B78" s="110">
        <v>3520.0</v>
      </c>
      <c r="C78" s="111" t="s">
        <v>367</v>
      </c>
      <c r="D78" s="112">
        <v>46094.0</v>
      </c>
      <c r="E78" s="113" t="s">
        <v>52</v>
      </c>
      <c r="F78" s="109" t="s">
        <v>20</v>
      </c>
      <c r="G78" s="88">
        <f t="shared" si="1"/>
        <v>352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109" t="s">
        <v>368</v>
      </c>
      <c r="B79" s="110">
        <v>602.5</v>
      </c>
      <c r="C79" s="111" t="s">
        <v>369</v>
      </c>
      <c r="D79" s="112">
        <v>46094.0</v>
      </c>
      <c r="E79" s="113" t="s">
        <v>52</v>
      </c>
      <c r="F79" s="109" t="s">
        <v>20</v>
      </c>
      <c r="G79" s="88">
        <f t="shared" si="1"/>
        <v>60.25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109" t="s">
        <v>368</v>
      </c>
      <c r="B80" s="110">
        <v>602.0</v>
      </c>
      <c r="C80" s="111" t="s">
        <v>370</v>
      </c>
      <c r="D80" s="112">
        <v>46094.0</v>
      </c>
      <c r="E80" s="113" t="s">
        <v>52</v>
      </c>
      <c r="F80" s="109" t="s">
        <v>20</v>
      </c>
      <c r="G80" s="88">
        <f t="shared" si="1"/>
        <v>60.2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109" t="s">
        <v>371</v>
      </c>
      <c r="B81" s="110">
        <v>1156.2</v>
      </c>
      <c r="C81" s="111" t="s">
        <v>372</v>
      </c>
      <c r="D81" s="112">
        <v>46093.0</v>
      </c>
      <c r="E81" s="113" t="s">
        <v>52</v>
      </c>
      <c r="F81" s="109" t="s">
        <v>21</v>
      </c>
      <c r="G81" s="88">
        <f t="shared" si="1"/>
        <v>115.62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109" t="s">
        <v>73</v>
      </c>
      <c r="B82" s="110">
        <v>50.0</v>
      </c>
      <c r="C82" s="111" t="s">
        <v>373</v>
      </c>
      <c r="D82" s="112">
        <v>46092.0</v>
      </c>
      <c r="E82" s="113" t="s">
        <v>52</v>
      </c>
      <c r="F82" s="109" t="s">
        <v>55</v>
      </c>
      <c r="G82" s="88">
        <f t="shared" si="1"/>
        <v>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109" t="s">
        <v>70</v>
      </c>
      <c r="B83" s="110">
        <v>50.0</v>
      </c>
      <c r="C83" s="111" t="s">
        <v>374</v>
      </c>
      <c r="D83" s="112">
        <v>46092.0</v>
      </c>
      <c r="E83" s="113" t="s">
        <v>52</v>
      </c>
      <c r="F83" s="109" t="s">
        <v>55</v>
      </c>
      <c r="G83" s="88">
        <f t="shared" si="1"/>
        <v>5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109" t="s">
        <v>110</v>
      </c>
      <c r="B84" s="110">
        <v>885.8</v>
      </c>
      <c r="C84" s="111" t="s">
        <v>375</v>
      </c>
      <c r="D84" s="112">
        <v>46093.0</v>
      </c>
      <c r="E84" s="113" t="s">
        <v>52</v>
      </c>
      <c r="F84" s="109" t="s">
        <v>20</v>
      </c>
      <c r="G84" s="88">
        <f t="shared" si="1"/>
        <v>88.58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109" t="s">
        <v>376</v>
      </c>
      <c r="B85" s="110">
        <v>50.0</v>
      </c>
      <c r="C85" s="111" t="s">
        <v>377</v>
      </c>
      <c r="D85" s="112">
        <v>46092.0</v>
      </c>
      <c r="E85" s="113" t="s">
        <v>52</v>
      </c>
      <c r="F85" s="109" t="s">
        <v>55</v>
      </c>
      <c r="G85" s="88">
        <f t="shared" si="1"/>
        <v>5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109" t="s">
        <v>93</v>
      </c>
      <c r="B86" s="110">
        <v>119.0</v>
      </c>
      <c r="C86" s="111" t="s">
        <v>378</v>
      </c>
      <c r="D86" s="112">
        <v>46092.0</v>
      </c>
      <c r="E86" s="113" t="s">
        <v>52</v>
      </c>
      <c r="F86" s="109" t="s">
        <v>20</v>
      </c>
      <c r="G86" s="88">
        <f t="shared" si="1"/>
        <v>11.9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109" t="s">
        <v>379</v>
      </c>
      <c r="B87" s="110">
        <v>1156.2</v>
      </c>
      <c r="C87" s="111" t="s">
        <v>380</v>
      </c>
      <c r="D87" s="112">
        <v>46092.0</v>
      </c>
      <c r="E87" s="113" t="s">
        <v>52</v>
      </c>
      <c r="F87" s="109" t="s">
        <v>21</v>
      </c>
      <c r="G87" s="88">
        <f t="shared" si="1"/>
        <v>115.62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109" t="s">
        <v>381</v>
      </c>
      <c r="B88" s="110">
        <v>770.36</v>
      </c>
      <c r="C88" s="111" t="s">
        <v>382</v>
      </c>
      <c r="D88" s="112">
        <v>46091.0</v>
      </c>
      <c r="E88" s="113" t="s">
        <v>52</v>
      </c>
      <c r="F88" s="109" t="s">
        <v>20</v>
      </c>
      <c r="G88" s="88">
        <f t="shared" si="1"/>
        <v>77.036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109" t="s">
        <v>383</v>
      </c>
      <c r="B89" s="110">
        <v>775.36</v>
      </c>
      <c r="C89" s="111" t="s">
        <v>384</v>
      </c>
      <c r="D89" s="112">
        <v>46091.0</v>
      </c>
      <c r="E89" s="113" t="s">
        <v>52</v>
      </c>
      <c r="F89" s="109" t="s">
        <v>20</v>
      </c>
      <c r="G89" s="88">
        <f t="shared" si="1"/>
        <v>77.536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09" t="s">
        <v>269</v>
      </c>
      <c r="B90" s="110">
        <v>3735.0</v>
      </c>
      <c r="C90" s="111" t="s">
        <v>385</v>
      </c>
      <c r="D90" s="112">
        <v>46090.0</v>
      </c>
      <c r="E90" s="113" t="s">
        <v>52</v>
      </c>
      <c r="F90" s="109" t="s">
        <v>21</v>
      </c>
      <c r="G90" s="88">
        <f t="shared" si="1"/>
        <v>373.5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109" t="s">
        <v>302</v>
      </c>
      <c r="B91" s="110">
        <v>400.0</v>
      </c>
      <c r="C91" s="111" t="s">
        <v>386</v>
      </c>
      <c r="D91" s="112">
        <v>46087.0</v>
      </c>
      <c r="E91" s="113" t="s">
        <v>52</v>
      </c>
      <c r="F91" s="109" t="s">
        <v>21</v>
      </c>
      <c r="G91" s="88">
        <f t="shared" si="1"/>
        <v>40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109" t="s">
        <v>97</v>
      </c>
      <c r="B92" s="110">
        <v>1595.0</v>
      </c>
      <c r="C92" s="111" t="s">
        <v>387</v>
      </c>
      <c r="D92" s="112">
        <v>46087.0</v>
      </c>
      <c r="E92" s="113" t="s">
        <v>52</v>
      </c>
      <c r="F92" s="109" t="s">
        <v>41</v>
      </c>
      <c r="G92" s="88">
        <f t="shared" si="1"/>
        <v>159.5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109" t="s">
        <v>388</v>
      </c>
      <c r="B93" s="110">
        <v>10290.0</v>
      </c>
      <c r="C93" s="111" t="s">
        <v>389</v>
      </c>
      <c r="D93" s="112">
        <v>46087.0</v>
      </c>
      <c r="E93" s="113" t="s">
        <v>52</v>
      </c>
      <c r="F93" s="109" t="s">
        <v>20</v>
      </c>
      <c r="G93" s="88">
        <f t="shared" si="1"/>
        <v>1029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109" t="s">
        <v>108</v>
      </c>
      <c r="B94" s="110">
        <v>1987.5</v>
      </c>
      <c r="C94" s="111" t="s">
        <v>390</v>
      </c>
      <c r="D94" s="112">
        <v>46086.0</v>
      </c>
      <c r="E94" s="113" t="s">
        <v>52</v>
      </c>
      <c r="F94" s="109" t="s">
        <v>20</v>
      </c>
      <c r="G94" s="88">
        <f t="shared" si="1"/>
        <v>198.75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109" t="s">
        <v>391</v>
      </c>
      <c r="B95" s="110">
        <v>1995.0</v>
      </c>
      <c r="C95" s="111" t="s">
        <v>392</v>
      </c>
      <c r="D95" s="112">
        <v>46086.0</v>
      </c>
      <c r="E95" s="113" t="s">
        <v>52</v>
      </c>
      <c r="F95" s="109" t="s">
        <v>55</v>
      </c>
      <c r="G95" s="88">
        <f t="shared" si="1"/>
        <v>199.5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109" t="s">
        <v>50</v>
      </c>
      <c r="B96" s="110">
        <v>6225.0</v>
      </c>
      <c r="C96" s="111" t="s">
        <v>393</v>
      </c>
      <c r="D96" s="112">
        <v>46085.0</v>
      </c>
      <c r="E96" s="113" t="s">
        <v>52</v>
      </c>
      <c r="F96" s="109" t="s">
        <v>21</v>
      </c>
      <c r="G96" s="88">
        <f t="shared" si="1"/>
        <v>622.5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109" t="s">
        <v>93</v>
      </c>
      <c r="B97" s="110">
        <v>119.0</v>
      </c>
      <c r="C97" s="111" t="s">
        <v>394</v>
      </c>
      <c r="D97" s="112">
        <v>46085.0</v>
      </c>
      <c r="E97" s="113" t="s">
        <v>52</v>
      </c>
      <c r="F97" s="109" t="s">
        <v>20</v>
      </c>
      <c r="G97" s="88">
        <f t="shared" si="1"/>
        <v>11.9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109" t="s">
        <v>395</v>
      </c>
      <c r="B98" s="110">
        <v>6160.0</v>
      </c>
      <c r="C98" s="111" t="s">
        <v>396</v>
      </c>
      <c r="D98" s="112">
        <v>46084.0</v>
      </c>
      <c r="E98" s="113" t="s">
        <v>52</v>
      </c>
      <c r="F98" s="109" t="s">
        <v>20</v>
      </c>
      <c r="G98" s="88">
        <f t="shared" si="1"/>
        <v>616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109" t="s">
        <v>161</v>
      </c>
      <c r="B99" s="110">
        <v>3125.0</v>
      </c>
      <c r="C99" s="111" t="s">
        <v>397</v>
      </c>
      <c r="D99" s="112">
        <v>46083.0</v>
      </c>
      <c r="E99" s="113" t="s">
        <v>52</v>
      </c>
      <c r="F99" s="109" t="s">
        <v>55</v>
      </c>
      <c r="G99" s="88">
        <f t="shared" si="1"/>
        <v>312.5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109" t="s">
        <v>398</v>
      </c>
      <c r="B100" s="110">
        <v>2707.5</v>
      </c>
      <c r="C100" s="111" t="s">
        <v>399</v>
      </c>
      <c r="D100" s="112">
        <v>46083.0</v>
      </c>
      <c r="E100" s="113" t="s">
        <v>52</v>
      </c>
      <c r="F100" s="109" t="s">
        <v>21</v>
      </c>
      <c r="G100" s="88">
        <f t="shared" si="1"/>
        <v>270.75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109" t="s">
        <v>73</v>
      </c>
      <c r="B101" s="110">
        <v>375.0</v>
      </c>
      <c r="C101" s="111" t="s">
        <v>400</v>
      </c>
      <c r="D101" s="112">
        <v>46083.0</v>
      </c>
      <c r="E101" s="113" t="s">
        <v>52</v>
      </c>
      <c r="F101" s="109" t="s">
        <v>55</v>
      </c>
      <c r="G101" s="88">
        <f t="shared" si="1"/>
        <v>37.5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109" t="s">
        <v>401</v>
      </c>
      <c r="B102" s="110">
        <v>3509.03</v>
      </c>
      <c r="C102" s="111" t="s">
        <v>402</v>
      </c>
      <c r="D102" s="112">
        <v>46083.0</v>
      </c>
      <c r="E102" s="113" t="s">
        <v>52</v>
      </c>
      <c r="F102" s="109" t="s">
        <v>21</v>
      </c>
      <c r="G102" s="88">
        <f t="shared" si="1"/>
        <v>350.903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109" t="s">
        <v>257</v>
      </c>
      <c r="B103" s="110">
        <v>2475.0</v>
      </c>
      <c r="C103" s="111" t="s">
        <v>403</v>
      </c>
      <c r="D103" s="112">
        <v>46083.0</v>
      </c>
      <c r="E103" s="113" t="s">
        <v>52</v>
      </c>
      <c r="F103" s="109" t="s">
        <v>20</v>
      </c>
      <c r="G103" s="88">
        <f t="shared" si="1"/>
        <v>247.5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109" t="s">
        <v>404</v>
      </c>
      <c r="B104" s="110">
        <v>1025.0</v>
      </c>
      <c r="C104" s="111" t="s">
        <v>405</v>
      </c>
      <c r="D104" s="112">
        <v>46083.0</v>
      </c>
      <c r="E104" s="113" t="s">
        <v>52</v>
      </c>
      <c r="F104" s="109" t="s">
        <v>20</v>
      </c>
      <c r="G104" s="88">
        <f t="shared" si="1"/>
        <v>102.5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109" t="s">
        <v>404</v>
      </c>
      <c r="B105" s="110">
        <v>790.0</v>
      </c>
      <c r="C105" s="111" t="s">
        <v>406</v>
      </c>
      <c r="D105" s="112">
        <v>46083.0</v>
      </c>
      <c r="E105" s="113" t="s">
        <v>52</v>
      </c>
      <c r="F105" s="109" t="s">
        <v>20</v>
      </c>
      <c r="G105" s="88">
        <f t="shared" si="1"/>
        <v>79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109" t="s">
        <v>340</v>
      </c>
      <c r="B106" s="110">
        <v>-2604.0</v>
      </c>
      <c r="C106" s="111" t="s">
        <v>407</v>
      </c>
      <c r="D106" s="112">
        <v>46106.0</v>
      </c>
      <c r="E106" s="113" t="s">
        <v>52</v>
      </c>
      <c r="F106" s="109" t="s">
        <v>20</v>
      </c>
      <c r="G106" s="88">
        <f t="shared" si="1"/>
        <v>-260.4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109" t="s">
        <v>239</v>
      </c>
      <c r="B107" s="110">
        <v>-950.0</v>
      </c>
      <c r="C107" s="111" t="s">
        <v>408</v>
      </c>
      <c r="D107" s="112">
        <v>46106.0</v>
      </c>
      <c r="E107" s="113" t="s">
        <v>52</v>
      </c>
      <c r="F107" s="109" t="s">
        <v>55</v>
      </c>
      <c r="G107" s="88">
        <f t="shared" si="1"/>
        <v>-95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109" t="s">
        <v>149</v>
      </c>
      <c r="B108" s="110">
        <v>-350.0</v>
      </c>
      <c r="C108" s="111" t="s">
        <v>409</v>
      </c>
      <c r="D108" s="112">
        <v>46101.0</v>
      </c>
      <c r="E108" s="113" t="s">
        <v>52</v>
      </c>
      <c r="F108" s="109" t="s">
        <v>55</v>
      </c>
      <c r="G108" s="88">
        <f t="shared" si="1"/>
        <v>-35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109" t="s">
        <v>269</v>
      </c>
      <c r="B109" s="110">
        <v>-3735.0</v>
      </c>
      <c r="C109" s="111" t="s">
        <v>410</v>
      </c>
      <c r="D109" s="112">
        <v>46100.0</v>
      </c>
      <c r="E109" s="113" t="s">
        <v>52</v>
      </c>
      <c r="F109" s="109" t="s">
        <v>21</v>
      </c>
      <c r="G109" s="88">
        <f t="shared" si="1"/>
        <v>-373.5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109" t="s">
        <v>218</v>
      </c>
      <c r="B110" s="110">
        <v>-180.0</v>
      </c>
      <c r="C110" s="111" t="s">
        <v>411</v>
      </c>
      <c r="D110" s="112">
        <v>46100.0</v>
      </c>
      <c r="E110" s="113" t="s">
        <v>52</v>
      </c>
      <c r="F110" s="109" t="s">
        <v>20</v>
      </c>
      <c r="G110" s="88">
        <f t="shared" si="1"/>
        <v>-18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109"/>
      <c r="B111" s="110"/>
      <c r="C111" s="111"/>
      <c r="D111" s="112"/>
      <c r="E111" s="113"/>
      <c r="F111" s="109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109"/>
      <c r="B112" s="110"/>
      <c r="C112" s="111"/>
      <c r="D112" s="112"/>
      <c r="E112" s="113"/>
      <c r="F112" s="109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109"/>
      <c r="B113" s="110"/>
      <c r="C113" s="111"/>
      <c r="D113" s="112"/>
      <c r="E113" s="113"/>
      <c r="F113" s="109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109"/>
      <c r="B114" s="110"/>
      <c r="C114" s="111"/>
      <c r="D114" s="112"/>
      <c r="E114" s="113"/>
      <c r="F114" s="109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109"/>
      <c r="B115" s="110"/>
      <c r="C115" s="111"/>
      <c r="D115" s="112"/>
      <c r="E115" s="113"/>
      <c r="F115" s="109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109"/>
      <c r="B116" s="110"/>
      <c r="C116" s="111"/>
      <c r="D116" s="112"/>
      <c r="E116" s="113"/>
      <c r="F116" s="109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109"/>
      <c r="B117" s="110"/>
      <c r="C117" s="111"/>
      <c r="D117" s="112"/>
      <c r="E117" s="113"/>
      <c r="F117" s="109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109"/>
      <c r="B118" s="110"/>
      <c r="C118" s="111"/>
      <c r="D118" s="112"/>
      <c r="E118" s="113"/>
      <c r="F118" s="109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109"/>
      <c r="B119" s="110"/>
      <c r="C119" s="111"/>
      <c r="D119" s="112"/>
      <c r="E119" s="113"/>
      <c r="F119" s="109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4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4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4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4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4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4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4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4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4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4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4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4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4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4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4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4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4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4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4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4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4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4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4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4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4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5"/>
      <c r="V971" s="115"/>
      <c r="W971" s="115"/>
      <c r="X971" s="115"/>
      <c r="Y971" s="115"/>
      <c r="Z971" s="115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5"/>
      <c r="V972" s="115"/>
      <c r="W972" s="115"/>
      <c r="X972" s="115"/>
      <c r="Y972" s="115"/>
      <c r="Z972" s="115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5"/>
      <c r="V973" s="115"/>
      <c r="W973" s="115"/>
      <c r="X973" s="115"/>
      <c r="Y973" s="115"/>
      <c r="Z973" s="115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5"/>
      <c r="V974" s="115"/>
      <c r="W974" s="115"/>
      <c r="X974" s="115"/>
      <c r="Y974" s="115"/>
      <c r="Z974" s="115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5"/>
      <c r="V975" s="115"/>
      <c r="W975" s="115"/>
      <c r="X975" s="115"/>
      <c r="Y975" s="115"/>
      <c r="Z975" s="115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5"/>
      <c r="V976" s="115"/>
      <c r="W976" s="115"/>
      <c r="X976" s="115"/>
      <c r="Y976" s="115"/>
      <c r="Z976" s="115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5"/>
      <c r="V977" s="115"/>
      <c r="W977" s="115"/>
      <c r="X977" s="115"/>
      <c r="Y977" s="115"/>
      <c r="Z977" s="115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5"/>
      <c r="V978" s="115"/>
      <c r="W978" s="115"/>
      <c r="X978" s="115"/>
      <c r="Y978" s="115"/>
      <c r="Z978" s="115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5"/>
      <c r="V979" s="115"/>
      <c r="W979" s="115"/>
      <c r="X979" s="115"/>
      <c r="Y979" s="115"/>
      <c r="Z979" s="115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5"/>
      <c r="V980" s="115"/>
      <c r="W980" s="115"/>
      <c r="X980" s="115"/>
      <c r="Y980" s="115"/>
      <c r="Z980" s="115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5"/>
      <c r="V981" s="115"/>
      <c r="W981" s="115"/>
      <c r="X981" s="115"/>
      <c r="Y981" s="115"/>
      <c r="Z981" s="115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5"/>
      <c r="V982" s="115"/>
      <c r="W982" s="115"/>
      <c r="X982" s="115"/>
      <c r="Y982" s="115"/>
      <c r="Z982" s="115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5"/>
      <c r="V983" s="115"/>
      <c r="W983" s="115"/>
      <c r="X983" s="115"/>
      <c r="Y983" s="115"/>
      <c r="Z983" s="115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5"/>
      <c r="V984" s="115"/>
      <c r="W984" s="115"/>
      <c r="X984" s="115"/>
      <c r="Y984" s="115"/>
      <c r="Z984" s="115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5"/>
      <c r="V985" s="115"/>
      <c r="W985" s="115"/>
      <c r="X985" s="115"/>
      <c r="Y985" s="115"/>
      <c r="Z985" s="115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5"/>
      <c r="V986" s="115"/>
      <c r="W986" s="115"/>
      <c r="X986" s="115"/>
      <c r="Y986" s="115"/>
      <c r="Z986" s="115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5"/>
      <c r="V987" s="115"/>
      <c r="W987" s="115"/>
      <c r="X987" s="115"/>
      <c r="Y987" s="115"/>
      <c r="Z987" s="115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5"/>
      <c r="V988" s="115"/>
      <c r="W988" s="115"/>
      <c r="X988" s="115"/>
      <c r="Y988" s="115"/>
      <c r="Z988" s="115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5"/>
      <c r="V989" s="115"/>
      <c r="W989" s="115"/>
      <c r="X989" s="115"/>
      <c r="Y989" s="115"/>
      <c r="Z989" s="115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5"/>
      <c r="V990" s="115"/>
      <c r="W990" s="115"/>
      <c r="X990" s="115"/>
      <c r="Y990" s="115"/>
      <c r="Z990" s="115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5"/>
      <c r="V991" s="115"/>
      <c r="W991" s="115"/>
      <c r="X991" s="115"/>
      <c r="Y991" s="115"/>
      <c r="Z991" s="115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5"/>
      <c r="V992" s="115"/>
      <c r="W992" s="115"/>
      <c r="X992" s="115"/>
      <c r="Y992" s="115"/>
      <c r="Z992" s="115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5"/>
      <c r="V993" s="115"/>
      <c r="W993" s="115"/>
      <c r="X993" s="115"/>
      <c r="Y993" s="115"/>
      <c r="Z993" s="115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5"/>
      <c r="V994" s="115"/>
      <c r="W994" s="115"/>
      <c r="X994" s="115"/>
      <c r="Y994" s="115"/>
      <c r="Z994" s="115"/>
    </row>
    <row r="995">
      <c r="A995" s="4"/>
      <c r="B995" s="4"/>
      <c r="C995" s="4"/>
      <c r="D995" s="4"/>
      <c r="E995" s="4"/>
      <c r="F995" s="4"/>
      <c r="G995" s="4"/>
      <c r="H995" s="11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5"/>
      <c r="V995" s="115"/>
      <c r="W995" s="115"/>
      <c r="X995" s="115"/>
      <c r="Y995" s="115"/>
      <c r="Z995" s="115"/>
    </row>
    <row r="996">
      <c r="A996" s="4"/>
      <c r="B996" s="4"/>
      <c r="C996" s="4"/>
      <c r="D996" s="4"/>
      <c r="E996" s="4"/>
      <c r="F996" s="4"/>
      <c r="G996" s="4"/>
      <c r="H996" s="11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5"/>
      <c r="V996" s="115"/>
      <c r="W996" s="115"/>
      <c r="X996" s="115"/>
      <c r="Y996" s="115"/>
      <c r="Z996" s="115"/>
    </row>
    <row r="997">
      <c r="A997" s="4"/>
      <c r="B997" s="4"/>
      <c r="C997" s="4"/>
      <c r="D997" s="4"/>
      <c r="E997" s="4"/>
      <c r="F997" s="4"/>
      <c r="G997" s="4"/>
      <c r="H997" s="11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5"/>
      <c r="V997" s="115"/>
      <c r="W997" s="115"/>
      <c r="X997" s="115"/>
      <c r="Y997" s="115"/>
      <c r="Z997" s="115"/>
    </row>
    <row r="998">
      <c r="A998" s="4"/>
      <c r="B998" s="4"/>
      <c r="C998" s="4"/>
      <c r="D998" s="4"/>
      <c r="E998" s="4"/>
      <c r="F998" s="4"/>
      <c r="G998" s="4"/>
      <c r="H998" s="11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5"/>
      <c r="V998" s="115"/>
      <c r="W998" s="115"/>
      <c r="X998" s="115"/>
      <c r="Y998" s="115"/>
      <c r="Z998" s="115"/>
    </row>
    <row r="999">
      <c r="A999" s="4"/>
      <c r="B999" s="4"/>
      <c r="C999" s="4"/>
      <c r="D999" s="4"/>
      <c r="E999" s="4"/>
      <c r="F999" s="4"/>
      <c r="G999" s="4"/>
      <c r="H999" s="11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5"/>
      <c r="V999" s="115"/>
      <c r="W999" s="115"/>
      <c r="X999" s="115"/>
      <c r="Y999" s="115"/>
      <c r="Z999" s="115"/>
    </row>
    <row r="1000">
      <c r="A1000" s="4"/>
      <c r="B1000" s="4"/>
      <c r="C1000" s="4"/>
      <c r="D1000" s="4"/>
      <c r="E1000" s="4"/>
      <c r="F1000" s="4"/>
      <c r="G1000" s="4"/>
      <c r="H1000" s="11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5"/>
      <c r="V1000" s="115"/>
      <c r="W1000" s="115"/>
      <c r="X1000" s="115"/>
      <c r="Y1000" s="115"/>
      <c r="Z1000" s="115"/>
    </row>
    <row r="1001">
      <c r="A1001" s="4"/>
      <c r="B1001" s="4"/>
      <c r="C1001" s="4"/>
      <c r="D1001" s="4"/>
      <c r="E1001" s="4"/>
      <c r="F1001" s="4"/>
      <c r="G1001" s="4"/>
      <c r="H1001" s="11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5"/>
      <c r="V1001" s="115"/>
      <c r="W1001" s="115"/>
      <c r="X1001" s="115"/>
      <c r="Y1001" s="115"/>
      <c r="Z1001" s="115"/>
    </row>
    <row r="1002">
      <c r="A1002" s="4"/>
      <c r="B1002" s="4"/>
      <c r="C1002" s="4"/>
      <c r="D1002" s="4"/>
      <c r="E1002" s="4"/>
      <c r="F1002" s="4"/>
      <c r="G1002" s="4"/>
      <c r="H1002" s="11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5"/>
      <c r="V1002" s="115"/>
      <c r="W1002" s="115"/>
      <c r="X1002" s="115"/>
      <c r="Y1002" s="115"/>
      <c r="Z1002" s="115"/>
    </row>
    <row r="1003">
      <c r="A1003" s="4"/>
      <c r="B1003" s="4"/>
      <c r="C1003" s="4"/>
      <c r="D1003" s="4"/>
      <c r="E1003" s="4"/>
      <c r="F1003" s="4"/>
      <c r="G1003" s="4"/>
      <c r="H1003" s="11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5"/>
      <c r="V1003" s="115"/>
      <c r="W1003" s="115"/>
      <c r="X1003" s="115"/>
      <c r="Y1003" s="115"/>
      <c r="Z1003" s="115"/>
    </row>
    <row r="1004">
      <c r="A1004" s="4"/>
      <c r="B1004" s="4"/>
      <c r="C1004" s="4"/>
      <c r="D1004" s="4"/>
      <c r="E1004" s="4"/>
      <c r="F1004" s="4"/>
      <c r="G1004" s="4"/>
      <c r="H1004" s="11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5"/>
      <c r="V1004" s="115"/>
      <c r="W1004" s="115"/>
      <c r="X1004" s="115"/>
      <c r="Y1004" s="115"/>
      <c r="Z1004" s="115"/>
    </row>
    <row r="1005">
      <c r="A1005" s="4"/>
      <c r="B1005" s="4"/>
      <c r="C1005" s="4"/>
      <c r="D1005" s="4"/>
      <c r="E1005" s="4"/>
      <c r="F1005" s="4"/>
      <c r="G1005" s="4"/>
      <c r="H1005" s="11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5"/>
      <c r="V1005" s="115"/>
      <c r="W1005" s="115"/>
      <c r="X1005" s="115"/>
      <c r="Y1005" s="115"/>
      <c r="Z1005" s="115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11302.661</v>
      </c>
      <c r="C2" s="100">
        <f>SUMIF(F8:F960,"MÉDIA MULTI-ANNONCEURS",G8:G960)</f>
        <v>2526</v>
      </c>
      <c r="D2" s="101">
        <f>SUMIF(F8:F960,"PROMOTIONNEL",G8:G960)</f>
        <v>3906.461</v>
      </c>
      <c r="E2" s="102">
        <f>SUMIF(F8:F960,"DIST. PUBLICITAIRE SOLO",G8:G960)</f>
        <v>2933.2</v>
      </c>
      <c r="F2" s="103">
        <f>SUMIF(F8:F960,"AGENCE PUB",G8:G960)</f>
        <v>687.5</v>
      </c>
      <c r="G2" s="104">
        <f>SUMIF(F8:F960,"AGENCE WEB",G8:G960)</f>
        <v>0</v>
      </c>
      <c r="H2" s="105">
        <f>SUMIF(F8:F960,"SERVICES IA",G8:G960)</f>
        <v>1249.5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113026.61</v>
      </c>
      <c r="C4" s="100">
        <f>SUMIF(F8:F960,"MÉDIA MULTI-ANNONCEURS",B8:B960)</f>
        <v>25260</v>
      </c>
      <c r="D4" s="101">
        <f>SUMIF(F8:F960,"PROMOTIONNEL",B8:B960)</f>
        <v>39064.61</v>
      </c>
      <c r="E4" s="102">
        <f>SUMIF(F8:F960,"DIST. PUBLICITAIRE SOLO",B8:B960)</f>
        <v>29332</v>
      </c>
      <c r="F4" s="103">
        <f>SUMIF(F8:F960,"AGENCE PUB",B8:B960)</f>
        <v>6875</v>
      </c>
      <c r="G4" s="104">
        <f>SUMIF(F8:F960,"AGENCE WEB",B8:B960)</f>
        <v>0</v>
      </c>
      <c r="H4" s="105">
        <f>SUMIF(F8:F960,"SERVICES IA",B8:B960)</f>
        <v>12495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 t="s">
        <v>169</v>
      </c>
      <c r="B8" s="110">
        <v>135.89</v>
      </c>
      <c r="C8" s="111" t="s">
        <v>412</v>
      </c>
      <c r="D8" s="112">
        <v>46113.0</v>
      </c>
      <c r="E8" s="113" t="s">
        <v>52</v>
      </c>
      <c r="F8" s="109" t="s">
        <v>20</v>
      </c>
      <c r="G8" s="88">
        <f t="shared" ref="G8:G166" si="1">B8*0.1</f>
        <v>13.589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 t="s">
        <v>110</v>
      </c>
      <c r="B9" s="110">
        <v>325.8</v>
      </c>
      <c r="C9" s="111" t="s">
        <v>413</v>
      </c>
      <c r="D9" s="112">
        <v>46113.0</v>
      </c>
      <c r="E9" s="113" t="s">
        <v>52</v>
      </c>
      <c r="F9" s="109" t="s">
        <v>20</v>
      </c>
      <c r="G9" s="88">
        <f t="shared" si="1"/>
        <v>32.58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 t="s">
        <v>93</v>
      </c>
      <c r="B10" s="110">
        <v>119.0</v>
      </c>
      <c r="C10" s="111" t="s">
        <v>414</v>
      </c>
      <c r="D10" s="112">
        <v>46113.0</v>
      </c>
      <c r="E10" s="113" t="s">
        <v>52</v>
      </c>
      <c r="F10" s="109" t="s">
        <v>20</v>
      </c>
      <c r="G10" s="88">
        <f t="shared" si="1"/>
        <v>11.9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 t="s">
        <v>398</v>
      </c>
      <c r="B11" s="110">
        <v>458.65</v>
      </c>
      <c r="C11" s="111" t="s">
        <v>415</v>
      </c>
      <c r="D11" s="112">
        <v>46114.0</v>
      </c>
      <c r="E11" s="113" t="s">
        <v>52</v>
      </c>
      <c r="F11" s="109" t="s">
        <v>21</v>
      </c>
      <c r="G11" s="88">
        <f t="shared" si="1"/>
        <v>45.865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 t="s">
        <v>398</v>
      </c>
      <c r="B12" s="110">
        <v>2707.5</v>
      </c>
      <c r="C12" s="111" t="s">
        <v>416</v>
      </c>
      <c r="D12" s="112">
        <v>46114.0</v>
      </c>
      <c r="E12" s="113" t="s">
        <v>52</v>
      </c>
      <c r="F12" s="109" t="s">
        <v>21</v>
      </c>
      <c r="G12" s="88">
        <f t="shared" si="1"/>
        <v>270.75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 t="s">
        <v>68</v>
      </c>
      <c r="B13" s="110">
        <v>776.06</v>
      </c>
      <c r="C13" s="111" t="s">
        <v>417</v>
      </c>
      <c r="D13" s="112">
        <v>46114.0</v>
      </c>
      <c r="E13" s="113" t="s">
        <v>52</v>
      </c>
      <c r="F13" s="109" t="s">
        <v>20</v>
      </c>
      <c r="G13" s="88">
        <f t="shared" si="1"/>
        <v>77.606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 t="s">
        <v>101</v>
      </c>
      <c r="B14" s="110">
        <v>3966.23</v>
      </c>
      <c r="C14" s="111" t="s">
        <v>418</v>
      </c>
      <c r="D14" s="112">
        <v>46114.0</v>
      </c>
      <c r="E14" s="113" t="s">
        <v>52</v>
      </c>
      <c r="F14" s="109" t="s">
        <v>20</v>
      </c>
      <c r="G14" s="88">
        <f t="shared" si="1"/>
        <v>396.623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 t="s">
        <v>62</v>
      </c>
      <c r="B15" s="110">
        <v>500.0</v>
      </c>
      <c r="C15" s="111" t="s">
        <v>419</v>
      </c>
      <c r="D15" s="112">
        <v>46114.0</v>
      </c>
      <c r="E15" s="113" t="s">
        <v>52</v>
      </c>
      <c r="F15" s="109" t="s">
        <v>55</v>
      </c>
      <c r="G15" s="88">
        <f t="shared" si="1"/>
        <v>50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09" t="s">
        <v>420</v>
      </c>
      <c r="B16" s="110">
        <v>4425.0</v>
      </c>
      <c r="C16" s="111" t="s">
        <v>421</v>
      </c>
      <c r="D16" s="112">
        <v>46114.0</v>
      </c>
      <c r="E16" s="113" t="s">
        <v>52</v>
      </c>
      <c r="F16" s="109" t="s">
        <v>55</v>
      </c>
      <c r="G16" s="88">
        <f t="shared" si="1"/>
        <v>442.5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9" t="s">
        <v>371</v>
      </c>
      <c r="B17" s="110">
        <v>1156.2</v>
      </c>
      <c r="C17" s="111" t="s">
        <v>422</v>
      </c>
      <c r="D17" s="112">
        <v>46114.0</v>
      </c>
      <c r="E17" s="113" t="s">
        <v>52</v>
      </c>
      <c r="F17" s="109" t="s">
        <v>21</v>
      </c>
      <c r="G17" s="88">
        <f t="shared" si="1"/>
        <v>115.62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09" t="s">
        <v>379</v>
      </c>
      <c r="B18" s="110">
        <v>1156.2</v>
      </c>
      <c r="C18" s="111" t="s">
        <v>423</v>
      </c>
      <c r="D18" s="112">
        <v>46114.0</v>
      </c>
      <c r="E18" s="113" t="s">
        <v>52</v>
      </c>
      <c r="F18" s="109" t="s">
        <v>21</v>
      </c>
      <c r="G18" s="88">
        <f t="shared" si="1"/>
        <v>115.62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09" t="s">
        <v>199</v>
      </c>
      <c r="B19" s="110">
        <v>6475.0</v>
      </c>
      <c r="C19" s="111" t="s">
        <v>424</v>
      </c>
      <c r="D19" s="112">
        <v>46114.0</v>
      </c>
      <c r="E19" s="113" t="s">
        <v>52</v>
      </c>
      <c r="F19" s="109" t="s">
        <v>21</v>
      </c>
      <c r="G19" s="88">
        <f t="shared" si="1"/>
        <v>647.5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09" t="s">
        <v>97</v>
      </c>
      <c r="B20" s="110">
        <v>1595.0</v>
      </c>
      <c r="C20" s="111" t="s">
        <v>425</v>
      </c>
      <c r="D20" s="112">
        <v>46115.0</v>
      </c>
      <c r="E20" s="113" t="s">
        <v>52</v>
      </c>
      <c r="F20" s="109" t="s">
        <v>41</v>
      </c>
      <c r="G20" s="88">
        <f t="shared" si="1"/>
        <v>159.5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09" t="s">
        <v>426</v>
      </c>
      <c r="B21" s="110">
        <v>1667.77</v>
      </c>
      <c r="C21" s="111" t="s">
        <v>427</v>
      </c>
      <c r="D21" s="112">
        <v>46118.0</v>
      </c>
      <c r="E21" s="113" t="s">
        <v>52</v>
      </c>
      <c r="F21" s="109" t="s">
        <v>20</v>
      </c>
      <c r="G21" s="88">
        <f t="shared" si="1"/>
        <v>166.777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09" t="s">
        <v>428</v>
      </c>
      <c r="B22" s="110">
        <v>537.0</v>
      </c>
      <c r="C22" s="111" t="s">
        <v>429</v>
      </c>
      <c r="D22" s="112">
        <v>46118.0</v>
      </c>
      <c r="E22" s="113" t="s">
        <v>52</v>
      </c>
      <c r="F22" s="109" t="s">
        <v>20</v>
      </c>
      <c r="G22" s="88">
        <f t="shared" si="1"/>
        <v>53.7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09" t="s">
        <v>216</v>
      </c>
      <c r="B23" s="110">
        <v>50.14</v>
      </c>
      <c r="C23" s="111" t="s">
        <v>430</v>
      </c>
      <c r="D23" s="112">
        <v>46120.0</v>
      </c>
      <c r="E23" s="113" t="s">
        <v>52</v>
      </c>
      <c r="F23" s="109" t="s">
        <v>20</v>
      </c>
      <c r="G23" s="88">
        <f t="shared" si="1"/>
        <v>5.014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09" t="s">
        <v>431</v>
      </c>
      <c r="B24" s="110">
        <v>2204.61</v>
      </c>
      <c r="C24" s="111" t="s">
        <v>432</v>
      </c>
      <c r="D24" s="112">
        <v>46120.0</v>
      </c>
      <c r="E24" s="113" t="s">
        <v>52</v>
      </c>
      <c r="F24" s="109" t="s">
        <v>20</v>
      </c>
      <c r="G24" s="88">
        <f t="shared" si="1"/>
        <v>220.461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09" t="s">
        <v>93</v>
      </c>
      <c r="B25" s="110">
        <v>119.0</v>
      </c>
      <c r="C25" s="111" t="s">
        <v>433</v>
      </c>
      <c r="D25" s="112">
        <v>46120.0</v>
      </c>
      <c r="E25" s="113" t="s">
        <v>52</v>
      </c>
      <c r="F25" s="109" t="s">
        <v>20</v>
      </c>
      <c r="G25" s="88">
        <f t="shared" si="1"/>
        <v>11.9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09" t="s">
        <v>434</v>
      </c>
      <c r="B26" s="110">
        <v>1060.19</v>
      </c>
      <c r="C26" s="111" t="s">
        <v>435</v>
      </c>
      <c r="D26" s="112">
        <v>46121.0</v>
      </c>
      <c r="E26" s="113" t="s">
        <v>52</v>
      </c>
      <c r="F26" s="109" t="s">
        <v>20</v>
      </c>
      <c r="G26" s="88">
        <f t="shared" si="1"/>
        <v>106.019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09" t="s">
        <v>398</v>
      </c>
      <c r="B27" s="110">
        <v>4425.89</v>
      </c>
      <c r="C27" s="111" t="s">
        <v>436</v>
      </c>
      <c r="D27" s="112">
        <v>46121.0</v>
      </c>
      <c r="E27" s="113" t="s">
        <v>52</v>
      </c>
      <c r="F27" s="109" t="s">
        <v>20</v>
      </c>
      <c r="G27" s="88">
        <f t="shared" si="1"/>
        <v>442.589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09" t="s">
        <v>120</v>
      </c>
      <c r="B28" s="110">
        <v>1070.0</v>
      </c>
      <c r="C28" s="111" t="s">
        <v>437</v>
      </c>
      <c r="D28" s="112">
        <v>46122.0</v>
      </c>
      <c r="E28" s="113" t="s">
        <v>52</v>
      </c>
      <c r="F28" s="109" t="s">
        <v>20</v>
      </c>
      <c r="G28" s="88">
        <f t="shared" si="1"/>
        <v>107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09" t="s">
        <v>89</v>
      </c>
      <c r="B29" s="110">
        <v>450.0</v>
      </c>
      <c r="C29" s="111" t="s">
        <v>438</v>
      </c>
      <c r="D29" s="112">
        <v>46122.0</v>
      </c>
      <c r="E29" s="113" t="s">
        <v>52</v>
      </c>
      <c r="F29" s="109" t="s">
        <v>55</v>
      </c>
      <c r="G29" s="88">
        <f t="shared" si="1"/>
        <v>45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09" t="s">
        <v>439</v>
      </c>
      <c r="B30" s="110">
        <v>2182.36</v>
      </c>
      <c r="C30" s="111" t="s">
        <v>440</v>
      </c>
      <c r="D30" s="112">
        <v>46122.0</v>
      </c>
      <c r="E30" s="113" t="s">
        <v>52</v>
      </c>
      <c r="F30" s="109" t="s">
        <v>20</v>
      </c>
      <c r="G30" s="88">
        <f t="shared" si="1"/>
        <v>218.236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09" t="s">
        <v>441</v>
      </c>
      <c r="B31" s="110">
        <v>672.84</v>
      </c>
      <c r="C31" s="111" t="s">
        <v>442</v>
      </c>
      <c r="D31" s="112">
        <v>46122.0</v>
      </c>
      <c r="E31" s="113" t="s">
        <v>52</v>
      </c>
      <c r="F31" s="109" t="s">
        <v>20</v>
      </c>
      <c r="G31" s="88">
        <f t="shared" si="1"/>
        <v>67.284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09" t="s">
        <v>443</v>
      </c>
      <c r="B32" s="110">
        <v>12495.0</v>
      </c>
      <c r="C32" s="111" t="s">
        <v>444</v>
      </c>
      <c r="D32" s="112">
        <v>46129.0</v>
      </c>
      <c r="E32" s="113" t="s">
        <v>52</v>
      </c>
      <c r="F32" s="109" t="s">
        <v>24</v>
      </c>
      <c r="G32" s="88">
        <f t="shared" si="1"/>
        <v>1249.5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09" t="s">
        <v>331</v>
      </c>
      <c r="B33" s="110">
        <v>1095.0</v>
      </c>
      <c r="C33" s="111" t="s">
        <v>445</v>
      </c>
      <c r="D33" s="112">
        <v>46129.0</v>
      </c>
      <c r="E33" s="113" t="s">
        <v>52</v>
      </c>
      <c r="F33" s="109" t="s">
        <v>41</v>
      </c>
      <c r="G33" s="88">
        <f t="shared" si="1"/>
        <v>109.5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09" t="s">
        <v>329</v>
      </c>
      <c r="B34" s="110">
        <v>2190.0</v>
      </c>
      <c r="C34" s="111" t="s">
        <v>446</v>
      </c>
      <c r="D34" s="112">
        <v>46129.0</v>
      </c>
      <c r="E34" s="113" t="s">
        <v>52</v>
      </c>
      <c r="F34" s="109" t="s">
        <v>41</v>
      </c>
      <c r="G34" s="88">
        <f t="shared" si="1"/>
        <v>219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09" t="s">
        <v>321</v>
      </c>
      <c r="B35" s="110">
        <v>3285.0</v>
      </c>
      <c r="C35" s="111" t="s">
        <v>447</v>
      </c>
      <c r="D35" s="112">
        <v>46129.0</v>
      </c>
      <c r="E35" s="113" t="s">
        <v>52</v>
      </c>
      <c r="F35" s="109" t="s">
        <v>21</v>
      </c>
      <c r="G35" s="88">
        <f t="shared" si="1"/>
        <v>328.5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09" t="s">
        <v>331</v>
      </c>
      <c r="B36" s="110">
        <v>1007.3</v>
      </c>
      <c r="C36" s="111" t="s">
        <v>448</v>
      </c>
      <c r="D36" s="112">
        <v>46129.0</v>
      </c>
      <c r="E36" s="113" t="s">
        <v>52</v>
      </c>
      <c r="F36" s="109" t="s">
        <v>20</v>
      </c>
      <c r="G36" s="88">
        <f t="shared" si="1"/>
        <v>100.73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09" t="s">
        <v>325</v>
      </c>
      <c r="B37" s="110">
        <v>606.92</v>
      </c>
      <c r="C37" s="111" t="s">
        <v>449</v>
      </c>
      <c r="D37" s="112">
        <v>46129.0</v>
      </c>
      <c r="E37" s="113" t="s">
        <v>52</v>
      </c>
      <c r="F37" s="109" t="s">
        <v>20</v>
      </c>
      <c r="G37" s="88">
        <f t="shared" si="1"/>
        <v>60.692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09" t="s">
        <v>450</v>
      </c>
      <c r="B38" s="110">
        <v>1070.0</v>
      </c>
      <c r="C38" s="111" t="s">
        <v>451</v>
      </c>
      <c r="D38" s="112">
        <v>46129.0</v>
      </c>
      <c r="E38" s="113" t="s">
        <v>52</v>
      </c>
      <c r="F38" s="109" t="s">
        <v>20</v>
      </c>
      <c r="G38" s="88">
        <f t="shared" si="1"/>
        <v>107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109" t="s">
        <v>452</v>
      </c>
      <c r="B39" s="110">
        <v>1202.99</v>
      </c>
      <c r="C39" s="111" t="s">
        <v>453</v>
      </c>
      <c r="D39" s="112">
        <v>46128.0</v>
      </c>
      <c r="E39" s="113" t="s">
        <v>52</v>
      </c>
      <c r="F39" s="109" t="s">
        <v>20</v>
      </c>
      <c r="G39" s="88">
        <f t="shared" si="1"/>
        <v>120.299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109" t="s">
        <v>454</v>
      </c>
      <c r="B40" s="110">
        <v>250.0</v>
      </c>
      <c r="C40" s="111" t="s">
        <v>455</v>
      </c>
      <c r="D40" s="112">
        <v>46128.0</v>
      </c>
      <c r="E40" s="113" t="s">
        <v>52</v>
      </c>
      <c r="F40" s="109" t="s">
        <v>55</v>
      </c>
      <c r="G40" s="88">
        <f t="shared" si="1"/>
        <v>25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109" t="s">
        <v>456</v>
      </c>
      <c r="B41" s="110">
        <v>337.5</v>
      </c>
      <c r="C41" s="111" t="s">
        <v>457</v>
      </c>
      <c r="D41" s="112">
        <v>46127.0</v>
      </c>
      <c r="E41" s="113" t="s">
        <v>52</v>
      </c>
      <c r="F41" s="109" t="s">
        <v>20</v>
      </c>
      <c r="G41" s="88">
        <f t="shared" si="1"/>
        <v>33.75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09" t="s">
        <v>93</v>
      </c>
      <c r="B42" s="110">
        <v>119.0</v>
      </c>
      <c r="C42" s="111" t="s">
        <v>458</v>
      </c>
      <c r="D42" s="112">
        <v>46127.0</v>
      </c>
      <c r="E42" s="113" t="s">
        <v>52</v>
      </c>
      <c r="F42" s="109" t="s">
        <v>20</v>
      </c>
      <c r="G42" s="88">
        <f t="shared" si="1"/>
        <v>11.9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09" t="s">
        <v>459</v>
      </c>
      <c r="B43" s="110">
        <v>795.0</v>
      </c>
      <c r="C43" s="111" t="s">
        <v>460</v>
      </c>
      <c r="D43" s="112">
        <v>46125.0</v>
      </c>
      <c r="E43" s="113" t="s">
        <v>52</v>
      </c>
      <c r="F43" s="109" t="s">
        <v>20</v>
      </c>
      <c r="G43" s="88">
        <f t="shared" si="1"/>
        <v>79.5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109" t="s">
        <v>459</v>
      </c>
      <c r="B44" s="110">
        <v>1140.3</v>
      </c>
      <c r="C44" s="111" t="s">
        <v>461</v>
      </c>
      <c r="D44" s="112">
        <v>46125.0</v>
      </c>
      <c r="E44" s="113" t="s">
        <v>52</v>
      </c>
      <c r="F44" s="109" t="s">
        <v>20</v>
      </c>
      <c r="G44" s="88">
        <f t="shared" si="1"/>
        <v>114.03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109" t="s">
        <v>195</v>
      </c>
      <c r="B45" s="110">
        <v>995.0</v>
      </c>
      <c r="C45" s="111" t="s">
        <v>462</v>
      </c>
      <c r="D45" s="112">
        <v>46125.0</v>
      </c>
      <c r="E45" s="113" t="s">
        <v>52</v>
      </c>
      <c r="F45" s="109" t="s">
        <v>41</v>
      </c>
      <c r="G45" s="88">
        <f t="shared" si="1"/>
        <v>99.5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109" t="s">
        <v>463</v>
      </c>
      <c r="B46" s="110">
        <v>3640.0</v>
      </c>
      <c r="C46" s="111" t="s">
        <v>464</v>
      </c>
      <c r="D46" s="112">
        <v>46125.0</v>
      </c>
      <c r="E46" s="113" t="s">
        <v>52</v>
      </c>
      <c r="F46" s="109" t="s">
        <v>41</v>
      </c>
      <c r="G46" s="88">
        <f t="shared" si="1"/>
        <v>364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109" t="s">
        <v>465</v>
      </c>
      <c r="B47" s="110">
        <v>995.0</v>
      </c>
      <c r="C47" s="111" t="s">
        <v>466</v>
      </c>
      <c r="D47" s="112">
        <v>46125.0</v>
      </c>
      <c r="E47" s="113" t="s">
        <v>52</v>
      </c>
      <c r="F47" s="109" t="s">
        <v>41</v>
      </c>
      <c r="G47" s="88">
        <f t="shared" si="1"/>
        <v>99.5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109" t="s">
        <v>360</v>
      </c>
      <c r="B48" s="110">
        <v>995.0</v>
      </c>
      <c r="C48" s="111" t="s">
        <v>467</v>
      </c>
      <c r="D48" s="112">
        <v>46125.0</v>
      </c>
      <c r="E48" s="113" t="s">
        <v>52</v>
      </c>
      <c r="F48" s="109" t="s">
        <v>41</v>
      </c>
      <c r="G48" s="88">
        <f t="shared" si="1"/>
        <v>99.5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109" t="s">
        <v>398</v>
      </c>
      <c r="B49" s="110">
        <v>110.0</v>
      </c>
      <c r="C49" s="111" t="s">
        <v>468</v>
      </c>
      <c r="D49" s="112">
        <v>46125.0</v>
      </c>
      <c r="E49" s="113" t="s">
        <v>52</v>
      </c>
      <c r="F49" s="109" t="s">
        <v>20</v>
      </c>
      <c r="G49" s="88">
        <f t="shared" si="1"/>
        <v>11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109" t="s">
        <v>364</v>
      </c>
      <c r="B50" s="110">
        <v>2985.0</v>
      </c>
      <c r="C50" s="111" t="s">
        <v>469</v>
      </c>
      <c r="D50" s="112">
        <v>46125.0</v>
      </c>
      <c r="E50" s="113" t="s">
        <v>52</v>
      </c>
      <c r="F50" s="109" t="s">
        <v>41</v>
      </c>
      <c r="G50" s="88">
        <f t="shared" si="1"/>
        <v>298.5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109" t="s">
        <v>325</v>
      </c>
      <c r="B51" s="110">
        <v>3390.0</v>
      </c>
      <c r="C51" s="111" t="s">
        <v>470</v>
      </c>
      <c r="D51" s="112">
        <v>46125.0</v>
      </c>
      <c r="E51" s="113" t="s">
        <v>52</v>
      </c>
      <c r="F51" s="109" t="s">
        <v>41</v>
      </c>
      <c r="G51" s="88">
        <f t="shared" si="1"/>
        <v>339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109" t="s">
        <v>471</v>
      </c>
      <c r="B52" s="110">
        <v>3390.0</v>
      </c>
      <c r="C52" s="111" t="s">
        <v>472</v>
      </c>
      <c r="D52" s="112">
        <v>46125.0</v>
      </c>
      <c r="E52" s="113" t="s">
        <v>52</v>
      </c>
      <c r="F52" s="109" t="s">
        <v>41</v>
      </c>
      <c r="G52" s="88">
        <f t="shared" si="1"/>
        <v>339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109" t="s">
        <v>312</v>
      </c>
      <c r="B53" s="110">
        <v>-23.07</v>
      </c>
      <c r="C53" s="111" t="s">
        <v>473</v>
      </c>
      <c r="D53" s="112">
        <v>46129.0</v>
      </c>
      <c r="E53" s="113" t="s">
        <v>52</v>
      </c>
      <c r="F53" s="109" t="s">
        <v>20</v>
      </c>
      <c r="G53" s="88">
        <f t="shared" si="1"/>
        <v>-2.307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109" t="s">
        <v>474</v>
      </c>
      <c r="B54" s="110">
        <v>2175.0</v>
      </c>
      <c r="C54" s="111" t="s">
        <v>475</v>
      </c>
      <c r="D54" s="112">
        <v>46136.0</v>
      </c>
      <c r="E54" s="113" t="s">
        <v>52</v>
      </c>
      <c r="F54" s="109" t="s">
        <v>20</v>
      </c>
      <c r="G54" s="88">
        <f t="shared" si="1"/>
        <v>217.5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109" t="s">
        <v>476</v>
      </c>
      <c r="B55" s="110">
        <v>3765.0</v>
      </c>
      <c r="C55" s="111" t="s">
        <v>477</v>
      </c>
      <c r="D55" s="112">
        <v>46136.0</v>
      </c>
      <c r="E55" s="113" t="s">
        <v>52</v>
      </c>
      <c r="F55" s="109" t="s">
        <v>20</v>
      </c>
      <c r="G55" s="88">
        <f t="shared" si="1"/>
        <v>376.5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109" t="s">
        <v>478</v>
      </c>
      <c r="B56" s="110">
        <v>6179.22</v>
      </c>
      <c r="C56" s="111" t="s">
        <v>479</v>
      </c>
      <c r="D56" s="112">
        <v>46136.0</v>
      </c>
      <c r="E56" s="113" t="s">
        <v>52</v>
      </c>
      <c r="F56" s="109" t="s">
        <v>21</v>
      </c>
      <c r="G56" s="88">
        <f t="shared" si="1"/>
        <v>617.922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109" t="s">
        <v>480</v>
      </c>
      <c r="B57" s="110">
        <v>142.45</v>
      </c>
      <c r="C57" s="111" t="s">
        <v>481</v>
      </c>
      <c r="D57" s="112">
        <v>46136.0</v>
      </c>
      <c r="E57" s="113" t="s">
        <v>52</v>
      </c>
      <c r="F57" s="109" t="s">
        <v>20</v>
      </c>
      <c r="G57" s="88">
        <f t="shared" si="1"/>
        <v>14.245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109" t="s">
        <v>117</v>
      </c>
      <c r="B58" s="110">
        <v>2148.23</v>
      </c>
      <c r="C58" s="111" t="s">
        <v>482</v>
      </c>
      <c r="D58" s="112">
        <v>46135.0</v>
      </c>
      <c r="E58" s="113" t="s">
        <v>52</v>
      </c>
      <c r="F58" s="109" t="s">
        <v>21</v>
      </c>
      <c r="G58" s="88">
        <f t="shared" si="1"/>
        <v>214.823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109" t="s">
        <v>443</v>
      </c>
      <c r="B59" s="110">
        <v>3990.0</v>
      </c>
      <c r="C59" s="111" t="s">
        <v>483</v>
      </c>
      <c r="D59" s="112">
        <v>46135.0</v>
      </c>
      <c r="E59" s="113" t="s">
        <v>52</v>
      </c>
      <c r="F59" s="109" t="s">
        <v>41</v>
      </c>
      <c r="G59" s="88">
        <f t="shared" si="1"/>
        <v>399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09" t="s">
        <v>484</v>
      </c>
      <c r="B60" s="110">
        <v>1427.0</v>
      </c>
      <c r="C60" s="111" t="s">
        <v>485</v>
      </c>
      <c r="D60" s="112">
        <v>46134.0</v>
      </c>
      <c r="E60" s="113" t="s">
        <v>52</v>
      </c>
      <c r="F60" s="109" t="s">
        <v>20</v>
      </c>
      <c r="G60" s="88">
        <f t="shared" si="1"/>
        <v>142.7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109" t="s">
        <v>325</v>
      </c>
      <c r="B61" s="110">
        <v>40.26</v>
      </c>
      <c r="C61" s="111" t="s">
        <v>486</v>
      </c>
      <c r="D61" s="112">
        <v>46134.0</v>
      </c>
      <c r="E61" s="113" t="s">
        <v>52</v>
      </c>
      <c r="F61" s="109" t="s">
        <v>20</v>
      </c>
      <c r="G61" s="88">
        <f t="shared" si="1"/>
        <v>4.026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109" t="s">
        <v>120</v>
      </c>
      <c r="B62" s="110">
        <v>290.0</v>
      </c>
      <c r="C62" s="111" t="s">
        <v>487</v>
      </c>
      <c r="D62" s="112">
        <v>46134.0</v>
      </c>
      <c r="E62" s="113" t="s">
        <v>52</v>
      </c>
      <c r="F62" s="109" t="s">
        <v>20</v>
      </c>
      <c r="G62" s="88">
        <f t="shared" si="1"/>
        <v>29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109" t="s">
        <v>480</v>
      </c>
      <c r="B63" s="110">
        <v>1878.19</v>
      </c>
      <c r="C63" s="111" t="s">
        <v>488</v>
      </c>
      <c r="D63" s="112">
        <v>46134.0</v>
      </c>
      <c r="E63" s="113" t="s">
        <v>52</v>
      </c>
      <c r="F63" s="109" t="s">
        <v>20</v>
      </c>
      <c r="G63" s="88">
        <f t="shared" si="1"/>
        <v>187.819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109" t="s">
        <v>474</v>
      </c>
      <c r="B64" s="110">
        <v>2176.68</v>
      </c>
      <c r="C64" s="111" t="s">
        <v>489</v>
      </c>
      <c r="D64" s="112">
        <v>46134.0</v>
      </c>
      <c r="E64" s="113" t="s">
        <v>52</v>
      </c>
      <c r="F64" s="109" t="s">
        <v>20</v>
      </c>
      <c r="G64" s="88">
        <f t="shared" si="1"/>
        <v>217.668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109" t="s">
        <v>93</v>
      </c>
      <c r="B65" s="110">
        <v>119.0</v>
      </c>
      <c r="C65" s="111" t="s">
        <v>490</v>
      </c>
      <c r="D65" s="112">
        <v>46134.0</v>
      </c>
      <c r="E65" s="113" t="s">
        <v>52</v>
      </c>
      <c r="F65" s="109" t="s">
        <v>20</v>
      </c>
      <c r="G65" s="88">
        <f t="shared" si="1"/>
        <v>11.9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109" t="s">
        <v>161</v>
      </c>
      <c r="B66" s="110">
        <v>1250.0</v>
      </c>
      <c r="C66" s="111" t="s">
        <v>491</v>
      </c>
      <c r="D66" s="112">
        <v>46133.0</v>
      </c>
      <c r="E66" s="113" t="s">
        <v>52</v>
      </c>
      <c r="F66" s="109" t="s">
        <v>55</v>
      </c>
      <c r="G66" s="88">
        <f t="shared" si="1"/>
        <v>125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109" t="s">
        <v>329</v>
      </c>
      <c r="B67" s="110">
        <v>907.31</v>
      </c>
      <c r="C67" s="111" t="s">
        <v>492</v>
      </c>
      <c r="D67" s="112">
        <v>46132.0</v>
      </c>
      <c r="E67" s="113" t="s">
        <v>52</v>
      </c>
      <c r="F67" s="109" t="s">
        <v>20</v>
      </c>
      <c r="G67" s="88">
        <f t="shared" si="1"/>
        <v>90.731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109" t="s">
        <v>136</v>
      </c>
      <c r="B68" s="110">
        <v>465.0</v>
      </c>
      <c r="C68" s="111" t="s">
        <v>493</v>
      </c>
      <c r="D68" s="112">
        <v>46132.0</v>
      </c>
      <c r="E68" s="113" t="s">
        <v>52</v>
      </c>
      <c r="F68" s="109" t="s">
        <v>20</v>
      </c>
      <c r="G68" s="88">
        <f t="shared" si="1"/>
        <v>46.5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109" t="s">
        <v>226</v>
      </c>
      <c r="B69" s="110">
        <v>3200.0</v>
      </c>
      <c r="C69" s="111" t="s">
        <v>494</v>
      </c>
      <c r="D69" s="112">
        <v>46132.0</v>
      </c>
      <c r="E69" s="113" t="s">
        <v>52</v>
      </c>
      <c r="F69" s="109" t="s">
        <v>21</v>
      </c>
      <c r="G69" s="88">
        <f t="shared" si="1"/>
        <v>320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109" t="s">
        <v>495</v>
      </c>
      <c r="B70" s="110">
        <v>2566.0</v>
      </c>
      <c r="C70" s="111" t="s">
        <v>496</v>
      </c>
      <c r="D70" s="112">
        <v>46132.0</v>
      </c>
      <c r="E70" s="113" t="s">
        <v>52</v>
      </c>
      <c r="F70" s="109" t="s">
        <v>21</v>
      </c>
      <c r="G70" s="88">
        <f t="shared" si="1"/>
        <v>256.6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109"/>
      <c r="B71" s="110"/>
      <c r="C71" s="111"/>
      <c r="D71" s="112"/>
      <c r="E71" s="113"/>
      <c r="F71" s="109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4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4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4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4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4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4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4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4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4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4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4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4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4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4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4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4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4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4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4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4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4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4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4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4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4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4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4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4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4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4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4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4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4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4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4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4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4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4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4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4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4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4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4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4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4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4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4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4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4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4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4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4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4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4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4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4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4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4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4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4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4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4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4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4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4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4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4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4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4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4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4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4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4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5"/>
      <c r="V971" s="115"/>
      <c r="W971" s="115"/>
      <c r="X971" s="115"/>
      <c r="Y971" s="115"/>
      <c r="Z971" s="115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5"/>
      <c r="V972" s="115"/>
      <c r="W972" s="115"/>
      <c r="X972" s="115"/>
      <c r="Y972" s="115"/>
      <c r="Z972" s="115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5"/>
      <c r="V973" s="115"/>
      <c r="W973" s="115"/>
      <c r="X973" s="115"/>
      <c r="Y973" s="115"/>
      <c r="Z973" s="115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5"/>
      <c r="V974" s="115"/>
      <c r="W974" s="115"/>
      <c r="X974" s="115"/>
      <c r="Y974" s="115"/>
      <c r="Z974" s="115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5"/>
      <c r="V975" s="115"/>
      <c r="W975" s="115"/>
      <c r="X975" s="115"/>
      <c r="Y975" s="115"/>
      <c r="Z975" s="115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5"/>
      <c r="V976" s="115"/>
      <c r="W976" s="115"/>
      <c r="X976" s="115"/>
      <c r="Y976" s="115"/>
      <c r="Z976" s="115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5"/>
      <c r="V977" s="115"/>
      <c r="W977" s="115"/>
      <c r="X977" s="115"/>
      <c r="Y977" s="115"/>
      <c r="Z977" s="115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5"/>
      <c r="V978" s="115"/>
      <c r="W978" s="115"/>
      <c r="X978" s="115"/>
      <c r="Y978" s="115"/>
      <c r="Z978" s="115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5"/>
      <c r="V979" s="115"/>
      <c r="W979" s="115"/>
      <c r="X979" s="115"/>
      <c r="Y979" s="115"/>
      <c r="Z979" s="115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5"/>
      <c r="V980" s="115"/>
      <c r="W980" s="115"/>
      <c r="X980" s="115"/>
      <c r="Y980" s="115"/>
      <c r="Z980" s="115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5"/>
      <c r="V981" s="115"/>
      <c r="W981" s="115"/>
      <c r="X981" s="115"/>
      <c r="Y981" s="115"/>
      <c r="Z981" s="115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5"/>
      <c r="V982" s="115"/>
      <c r="W982" s="115"/>
      <c r="X982" s="115"/>
      <c r="Y982" s="115"/>
      <c r="Z982" s="115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5"/>
      <c r="V983" s="115"/>
      <c r="W983" s="115"/>
      <c r="X983" s="115"/>
      <c r="Y983" s="115"/>
      <c r="Z983" s="115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5"/>
      <c r="V984" s="115"/>
      <c r="W984" s="115"/>
      <c r="X984" s="115"/>
      <c r="Y984" s="115"/>
      <c r="Z984" s="115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5"/>
      <c r="V985" s="115"/>
      <c r="W985" s="115"/>
      <c r="X985" s="115"/>
      <c r="Y985" s="115"/>
      <c r="Z985" s="115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5"/>
      <c r="V986" s="115"/>
      <c r="W986" s="115"/>
      <c r="X986" s="115"/>
      <c r="Y986" s="115"/>
      <c r="Z986" s="115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5"/>
      <c r="V987" s="115"/>
      <c r="W987" s="115"/>
      <c r="X987" s="115"/>
      <c r="Y987" s="115"/>
      <c r="Z987" s="115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5"/>
      <c r="V988" s="115"/>
      <c r="W988" s="115"/>
      <c r="X988" s="115"/>
      <c r="Y988" s="115"/>
      <c r="Z988" s="115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5"/>
      <c r="V989" s="115"/>
      <c r="W989" s="115"/>
      <c r="X989" s="115"/>
      <c r="Y989" s="115"/>
      <c r="Z989" s="115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5"/>
      <c r="V990" s="115"/>
      <c r="W990" s="115"/>
      <c r="X990" s="115"/>
      <c r="Y990" s="115"/>
      <c r="Z990" s="115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5"/>
      <c r="V991" s="115"/>
      <c r="W991" s="115"/>
      <c r="X991" s="115"/>
      <c r="Y991" s="115"/>
      <c r="Z991" s="115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5"/>
      <c r="V992" s="115"/>
      <c r="W992" s="115"/>
      <c r="X992" s="115"/>
      <c r="Y992" s="115"/>
      <c r="Z992" s="115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5"/>
      <c r="V993" s="115"/>
      <c r="W993" s="115"/>
      <c r="X993" s="115"/>
      <c r="Y993" s="115"/>
      <c r="Z993" s="115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5"/>
      <c r="V994" s="115"/>
      <c r="W994" s="115"/>
      <c r="X994" s="115"/>
      <c r="Y994" s="115"/>
      <c r="Z994" s="115"/>
    </row>
    <row r="995">
      <c r="A995" s="4"/>
      <c r="B995" s="4"/>
      <c r="C995" s="4"/>
      <c r="D995" s="4"/>
      <c r="E995" s="4"/>
      <c r="F995" s="4"/>
      <c r="G995" s="4"/>
      <c r="H995" s="11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5"/>
      <c r="V995" s="115"/>
      <c r="W995" s="115"/>
      <c r="X995" s="115"/>
      <c r="Y995" s="115"/>
      <c r="Z995" s="115"/>
    </row>
    <row r="996">
      <c r="A996" s="4"/>
      <c r="B996" s="4"/>
      <c r="C996" s="4"/>
      <c r="D996" s="4"/>
      <c r="E996" s="4"/>
      <c r="F996" s="4"/>
      <c r="G996" s="4"/>
      <c r="H996" s="11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5"/>
      <c r="V996" s="115"/>
      <c r="W996" s="115"/>
      <c r="X996" s="115"/>
      <c r="Y996" s="115"/>
      <c r="Z996" s="115"/>
    </row>
    <row r="997">
      <c r="A997" s="4"/>
      <c r="B997" s="4"/>
      <c r="C997" s="4"/>
      <c r="D997" s="4"/>
      <c r="E997" s="4"/>
      <c r="F997" s="4"/>
      <c r="G997" s="4"/>
      <c r="H997" s="11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5"/>
      <c r="V997" s="115"/>
      <c r="W997" s="115"/>
      <c r="X997" s="115"/>
      <c r="Y997" s="115"/>
      <c r="Z997" s="115"/>
    </row>
    <row r="998">
      <c r="A998" s="4"/>
      <c r="B998" s="4"/>
      <c r="C998" s="4"/>
      <c r="D998" s="4"/>
      <c r="E998" s="4"/>
      <c r="F998" s="4"/>
      <c r="G998" s="4"/>
      <c r="H998" s="11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5"/>
      <c r="V998" s="115"/>
      <c r="W998" s="115"/>
      <c r="X998" s="115"/>
      <c r="Y998" s="115"/>
      <c r="Z998" s="115"/>
    </row>
    <row r="999">
      <c r="A999" s="4"/>
      <c r="B999" s="4"/>
      <c r="C999" s="4"/>
      <c r="D999" s="4"/>
      <c r="E999" s="4"/>
      <c r="F999" s="4"/>
      <c r="G999" s="4"/>
      <c r="H999" s="11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5"/>
      <c r="V999" s="115"/>
      <c r="W999" s="115"/>
      <c r="X999" s="115"/>
      <c r="Y999" s="115"/>
      <c r="Z999" s="115"/>
    </row>
    <row r="1000">
      <c r="A1000" s="4"/>
      <c r="B1000" s="4"/>
      <c r="C1000" s="4"/>
      <c r="D1000" s="4"/>
      <c r="E1000" s="4"/>
      <c r="F1000" s="4"/>
      <c r="G1000" s="4"/>
      <c r="H1000" s="11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5"/>
      <c r="V1000" s="115"/>
      <c r="W1000" s="115"/>
      <c r="X1000" s="115"/>
      <c r="Y1000" s="115"/>
      <c r="Z1000" s="115"/>
    </row>
    <row r="1001">
      <c r="A1001" s="4"/>
      <c r="B1001" s="4"/>
      <c r="C1001" s="4"/>
      <c r="D1001" s="4"/>
      <c r="E1001" s="4"/>
      <c r="F1001" s="4"/>
      <c r="G1001" s="4"/>
      <c r="H1001" s="11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5"/>
      <c r="V1001" s="115"/>
      <c r="W1001" s="115"/>
      <c r="X1001" s="115"/>
      <c r="Y1001" s="115"/>
      <c r="Z1001" s="115"/>
    </row>
    <row r="1002">
      <c r="A1002" s="4"/>
      <c r="B1002" s="4"/>
      <c r="C1002" s="4"/>
      <c r="D1002" s="4"/>
      <c r="E1002" s="4"/>
      <c r="F1002" s="4"/>
      <c r="G1002" s="4"/>
      <c r="H1002" s="11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5"/>
      <c r="V1002" s="115"/>
      <c r="W1002" s="115"/>
      <c r="X1002" s="115"/>
      <c r="Y1002" s="115"/>
      <c r="Z1002" s="115"/>
    </row>
    <row r="1003">
      <c r="A1003" s="4"/>
      <c r="B1003" s="4"/>
      <c r="C1003" s="4"/>
      <c r="D1003" s="4"/>
      <c r="E1003" s="4"/>
      <c r="F1003" s="4"/>
      <c r="G1003" s="4"/>
      <c r="H1003" s="11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5"/>
      <c r="V1003" s="115"/>
      <c r="W1003" s="115"/>
      <c r="X1003" s="115"/>
      <c r="Y1003" s="115"/>
      <c r="Z1003" s="115"/>
    </row>
    <row r="1004">
      <c r="A1004" s="4"/>
      <c r="B1004" s="4"/>
      <c r="C1004" s="4"/>
      <c r="D1004" s="4"/>
      <c r="E1004" s="4"/>
      <c r="F1004" s="4"/>
      <c r="G1004" s="4"/>
      <c r="H1004" s="11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5"/>
      <c r="V1004" s="115"/>
      <c r="W1004" s="115"/>
      <c r="X1004" s="115"/>
      <c r="Y1004" s="115"/>
      <c r="Z1004" s="115"/>
    </row>
    <row r="1005">
      <c r="A1005" s="4"/>
      <c r="B1005" s="4"/>
      <c r="C1005" s="4"/>
      <c r="D1005" s="4"/>
      <c r="E1005" s="4"/>
      <c r="F1005" s="4"/>
      <c r="G1005" s="4"/>
      <c r="H1005" s="11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5"/>
      <c r="V1005" s="115"/>
      <c r="W1005" s="115"/>
      <c r="X1005" s="115"/>
      <c r="Y1005" s="115"/>
      <c r="Z1005" s="115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18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18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18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18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18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18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18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9"/>
      <c r="B16" s="110"/>
      <c r="C16" s="120"/>
      <c r="D16" s="121"/>
      <c r="E16" s="122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9"/>
      <c r="B17" s="110"/>
      <c r="C17" s="120"/>
      <c r="D17" s="121"/>
      <c r="E17" s="122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9"/>
      <c r="B18" s="110"/>
      <c r="C18" s="120"/>
      <c r="D18" s="121"/>
      <c r="E18" s="122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3"/>
      <c r="B19" s="87"/>
      <c r="C19" s="124"/>
      <c r="D19" s="125"/>
      <c r="E19" s="114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6"/>
      <c r="B20" s="87"/>
      <c r="C20" s="124"/>
      <c r="D20" s="125"/>
      <c r="E20" s="114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6"/>
      <c r="B21" s="87"/>
      <c r="C21" s="124"/>
      <c r="D21" s="125"/>
      <c r="E21" s="114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3"/>
      <c r="B22" s="87"/>
      <c r="C22" s="124"/>
      <c r="D22" s="125"/>
      <c r="E22" s="114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6"/>
      <c r="B23" s="87"/>
      <c r="C23" s="25"/>
      <c r="D23" s="127"/>
      <c r="E23" s="114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6"/>
      <c r="B24" s="87"/>
      <c r="C24" s="25"/>
      <c r="D24" s="127"/>
      <c r="E24" s="114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6"/>
      <c r="B25" s="87"/>
      <c r="C25" s="25"/>
      <c r="D25" s="127"/>
      <c r="E25" s="114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6"/>
      <c r="B26" s="25"/>
      <c r="C26" s="25"/>
      <c r="D26" s="127"/>
      <c r="E26" s="114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6"/>
      <c r="B27" s="25"/>
      <c r="C27" s="25"/>
      <c r="D27" s="127"/>
      <c r="E27" s="114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6"/>
      <c r="B28" s="25"/>
      <c r="C28" s="25"/>
      <c r="D28" s="127"/>
      <c r="E28" s="114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7"/>
      <c r="B29" s="25"/>
      <c r="C29" s="25"/>
      <c r="D29" s="25"/>
      <c r="E29" s="114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7"/>
      <c r="B30" s="25"/>
      <c r="C30" s="25"/>
      <c r="D30" s="25"/>
      <c r="E30" s="114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7"/>
      <c r="B31" s="25"/>
      <c r="C31" s="25"/>
      <c r="D31" s="25"/>
      <c r="E31" s="114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7"/>
      <c r="B32" s="25"/>
      <c r="C32" s="25"/>
      <c r="D32" s="25"/>
      <c r="E32" s="114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7"/>
      <c r="B33" s="25"/>
      <c r="C33" s="25"/>
      <c r="D33" s="25"/>
      <c r="E33" s="114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7"/>
      <c r="B34" s="25"/>
      <c r="C34" s="25"/>
      <c r="D34" s="25"/>
      <c r="E34" s="114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7"/>
      <c r="B35" s="25"/>
      <c r="C35" s="25"/>
      <c r="D35" s="25"/>
      <c r="E35" s="114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7"/>
      <c r="B36" s="25"/>
      <c r="C36" s="25"/>
      <c r="D36" s="25"/>
      <c r="E36" s="114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7"/>
      <c r="B37" s="25"/>
      <c r="C37" s="25"/>
      <c r="D37" s="25"/>
      <c r="E37" s="114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4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4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4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4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4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4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4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4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4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4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4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4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4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4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4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4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4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4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4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4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4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4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4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4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4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4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4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4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4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4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4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4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4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4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4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4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4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4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4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4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4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4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4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4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4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4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4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4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4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4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4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4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4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4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4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4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4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4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4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4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4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4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4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4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4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4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4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4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4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4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4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4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4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4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4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4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4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4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4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4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4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4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4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4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4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4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4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4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4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4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4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4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4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4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4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4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4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4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4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4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4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4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4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4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4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4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4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5"/>
      <c r="V971" s="115"/>
      <c r="W971" s="115"/>
      <c r="X971" s="115"/>
      <c r="Y971" s="115"/>
      <c r="Z971" s="115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5"/>
      <c r="V972" s="115"/>
      <c r="W972" s="115"/>
      <c r="X972" s="115"/>
      <c r="Y972" s="115"/>
      <c r="Z972" s="115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5"/>
      <c r="V973" s="115"/>
      <c r="W973" s="115"/>
      <c r="X973" s="115"/>
      <c r="Y973" s="115"/>
      <c r="Z973" s="115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5"/>
      <c r="V974" s="115"/>
      <c r="W974" s="115"/>
      <c r="X974" s="115"/>
      <c r="Y974" s="115"/>
      <c r="Z974" s="115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5"/>
      <c r="V975" s="115"/>
      <c r="W975" s="115"/>
      <c r="X975" s="115"/>
      <c r="Y975" s="115"/>
      <c r="Z975" s="115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5"/>
      <c r="V976" s="115"/>
      <c r="W976" s="115"/>
      <c r="X976" s="115"/>
      <c r="Y976" s="115"/>
      <c r="Z976" s="115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5"/>
      <c r="V977" s="115"/>
      <c r="W977" s="115"/>
      <c r="X977" s="115"/>
      <c r="Y977" s="115"/>
      <c r="Z977" s="115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5"/>
      <c r="V978" s="115"/>
      <c r="W978" s="115"/>
      <c r="X978" s="115"/>
      <c r="Y978" s="115"/>
      <c r="Z978" s="115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5"/>
      <c r="V979" s="115"/>
      <c r="W979" s="115"/>
      <c r="X979" s="115"/>
      <c r="Y979" s="115"/>
      <c r="Z979" s="115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5"/>
      <c r="V980" s="115"/>
      <c r="W980" s="115"/>
      <c r="X980" s="115"/>
      <c r="Y980" s="115"/>
      <c r="Z980" s="115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5"/>
      <c r="V981" s="115"/>
      <c r="W981" s="115"/>
      <c r="X981" s="115"/>
      <c r="Y981" s="115"/>
      <c r="Z981" s="115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5"/>
      <c r="V982" s="115"/>
      <c r="W982" s="115"/>
      <c r="X982" s="115"/>
      <c r="Y982" s="115"/>
      <c r="Z982" s="115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5"/>
      <c r="V983" s="115"/>
      <c r="W983" s="115"/>
      <c r="X983" s="115"/>
      <c r="Y983" s="115"/>
      <c r="Z983" s="115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5"/>
      <c r="V984" s="115"/>
      <c r="W984" s="115"/>
      <c r="X984" s="115"/>
      <c r="Y984" s="115"/>
      <c r="Z984" s="115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5"/>
      <c r="V985" s="115"/>
      <c r="W985" s="115"/>
      <c r="X985" s="115"/>
      <c r="Y985" s="115"/>
      <c r="Z985" s="115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5"/>
      <c r="V986" s="115"/>
      <c r="W986" s="115"/>
      <c r="X986" s="115"/>
      <c r="Y986" s="115"/>
      <c r="Z986" s="115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5"/>
      <c r="V987" s="115"/>
      <c r="W987" s="115"/>
      <c r="X987" s="115"/>
      <c r="Y987" s="115"/>
      <c r="Z987" s="115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5"/>
      <c r="V988" s="115"/>
      <c r="W988" s="115"/>
      <c r="X988" s="115"/>
      <c r="Y988" s="115"/>
      <c r="Z988" s="115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5"/>
      <c r="V989" s="115"/>
      <c r="W989" s="115"/>
      <c r="X989" s="115"/>
      <c r="Y989" s="115"/>
      <c r="Z989" s="115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5"/>
      <c r="V990" s="115"/>
      <c r="W990" s="115"/>
      <c r="X990" s="115"/>
      <c r="Y990" s="115"/>
      <c r="Z990" s="115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5"/>
      <c r="V991" s="115"/>
      <c r="W991" s="115"/>
      <c r="X991" s="115"/>
      <c r="Y991" s="115"/>
      <c r="Z991" s="115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5"/>
      <c r="V992" s="115"/>
      <c r="W992" s="115"/>
      <c r="X992" s="115"/>
      <c r="Y992" s="115"/>
      <c r="Z992" s="115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5"/>
      <c r="V993" s="115"/>
      <c r="W993" s="115"/>
      <c r="X993" s="115"/>
      <c r="Y993" s="115"/>
      <c r="Z993" s="115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5"/>
      <c r="V994" s="115"/>
      <c r="W994" s="115"/>
      <c r="X994" s="115"/>
      <c r="Y994" s="115"/>
      <c r="Z994" s="115"/>
    </row>
    <row r="995">
      <c r="A995" s="4"/>
      <c r="B995" s="4"/>
      <c r="C995" s="4"/>
      <c r="D995" s="4"/>
      <c r="E995" s="4"/>
      <c r="F995" s="4"/>
      <c r="G995" s="4"/>
      <c r="H995" s="11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5"/>
      <c r="V995" s="115"/>
      <c r="W995" s="115"/>
      <c r="X995" s="115"/>
      <c r="Y995" s="115"/>
      <c r="Z995" s="115"/>
    </row>
    <row r="996">
      <c r="A996" s="4"/>
      <c r="B996" s="4"/>
      <c r="C996" s="4"/>
      <c r="D996" s="4"/>
      <c r="E996" s="4"/>
      <c r="F996" s="4"/>
      <c r="G996" s="4"/>
      <c r="H996" s="11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5"/>
      <c r="V996" s="115"/>
      <c r="W996" s="115"/>
      <c r="X996" s="115"/>
      <c r="Y996" s="115"/>
      <c r="Z996" s="115"/>
    </row>
    <row r="997">
      <c r="A997" s="4"/>
      <c r="B997" s="4"/>
      <c r="C997" s="4"/>
      <c r="D997" s="4"/>
      <c r="E997" s="4"/>
      <c r="F997" s="4"/>
      <c r="G997" s="4"/>
      <c r="H997" s="11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5"/>
      <c r="V997" s="115"/>
      <c r="W997" s="115"/>
      <c r="X997" s="115"/>
      <c r="Y997" s="115"/>
      <c r="Z997" s="115"/>
    </row>
    <row r="998">
      <c r="A998" s="4"/>
      <c r="B998" s="4"/>
      <c r="C998" s="4"/>
      <c r="D998" s="4"/>
      <c r="E998" s="4"/>
      <c r="F998" s="4"/>
      <c r="G998" s="4"/>
      <c r="H998" s="11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5"/>
      <c r="V998" s="115"/>
      <c r="W998" s="115"/>
      <c r="X998" s="115"/>
      <c r="Y998" s="115"/>
      <c r="Z998" s="115"/>
    </row>
    <row r="999">
      <c r="A999" s="4"/>
      <c r="B999" s="4"/>
      <c r="C999" s="4"/>
      <c r="D999" s="4"/>
      <c r="E999" s="4"/>
      <c r="F999" s="4"/>
      <c r="G999" s="4"/>
      <c r="H999" s="11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5"/>
      <c r="V999" s="115"/>
      <c r="W999" s="115"/>
      <c r="X999" s="115"/>
      <c r="Y999" s="115"/>
      <c r="Z999" s="115"/>
    </row>
    <row r="1000">
      <c r="A1000" s="4"/>
      <c r="B1000" s="4"/>
      <c r="C1000" s="4"/>
      <c r="D1000" s="4"/>
      <c r="E1000" s="4"/>
      <c r="F1000" s="4"/>
      <c r="G1000" s="4"/>
      <c r="H1000" s="11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5"/>
      <c r="V1000" s="115"/>
      <c r="W1000" s="115"/>
      <c r="X1000" s="115"/>
      <c r="Y1000" s="115"/>
      <c r="Z1000" s="115"/>
    </row>
    <row r="1001">
      <c r="A1001" s="4"/>
      <c r="B1001" s="4"/>
      <c r="C1001" s="4"/>
      <c r="D1001" s="4"/>
      <c r="E1001" s="4"/>
      <c r="F1001" s="4"/>
      <c r="G1001" s="4"/>
      <c r="H1001" s="11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5"/>
      <c r="V1001" s="115"/>
      <c r="W1001" s="115"/>
      <c r="X1001" s="115"/>
      <c r="Y1001" s="115"/>
      <c r="Z1001" s="115"/>
    </row>
    <row r="1002">
      <c r="A1002" s="4"/>
      <c r="B1002" s="4"/>
      <c r="C1002" s="4"/>
      <c r="D1002" s="4"/>
      <c r="E1002" s="4"/>
      <c r="F1002" s="4"/>
      <c r="G1002" s="4"/>
      <c r="H1002" s="11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5"/>
      <c r="V1002" s="115"/>
      <c r="W1002" s="115"/>
      <c r="X1002" s="115"/>
      <c r="Y1002" s="115"/>
      <c r="Z1002" s="115"/>
    </row>
    <row r="1003">
      <c r="A1003" s="4"/>
      <c r="B1003" s="4"/>
      <c r="C1003" s="4"/>
      <c r="D1003" s="4"/>
      <c r="E1003" s="4"/>
      <c r="F1003" s="4"/>
      <c r="G1003" s="4"/>
      <c r="H1003" s="11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5"/>
      <c r="V1003" s="115"/>
      <c r="W1003" s="115"/>
      <c r="X1003" s="115"/>
      <c r="Y1003" s="115"/>
      <c r="Z1003" s="115"/>
    </row>
    <row r="1004">
      <c r="A1004" s="4"/>
      <c r="B1004" s="4"/>
      <c r="C1004" s="4"/>
      <c r="D1004" s="4"/>
      <c r="E1004" s="4"/>
      <c r="F1004" s="4"/>
      <c r="G1004" s="4"/>
      <c r="H1004" s="11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5"/>
      <c r="V1004" s="115"/>
      <c r="W1004" s="115"/>
      <c r="X1004" s="115"/>
      <c r="Y1004" s="115"/>
      <c r="Z1004" s="115"/>
    </row>
    <row r="1005">
      <c r="A1005" s="4"/>
      <c r="B1005" s="4"/>
      <c r="C1005" s="4"/>
      <c r="D1005" s="4"/>
      <c r="E1005" s="4"/>
      <c r="F1005" s="4"/>
      <c r="G1005" s="4"/>
      <c r="H1005" s="11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5"/>
      <c r="V1005" s="115"/>
      <c r="W1005" s="115"/>
      <c r="X1005" s="115"/>
      <c r="Y1005" s="115"/>
      <c r="Z1005" s="115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18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18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18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18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18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18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18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9"/>
      <c r="B16" s="110"/>
      <c r="C16" s="120"/>
      <c r="D16" s="121"/>
      <c r="E16" s="122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9"/>
      <c r="B17" s="110"/>
      <c r="C17" s="120"/>
      <c r="D17" s="121"/>
      <c r="E17" s="122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9"/>
      <c r="B18" s="110"/>
      <c r="C18" s="120"/>
      <c r="D18" s="121"/>
      <c r="E18" s="122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3"/>
      <c r="B19" s="87"/>
      <c r="C19" s="124"/>
      <c r="D19" s="125"/>
      <c r="E19" s="114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6"/>
      <c r="B20" s="87"/>
      <c r="C20" s="124"/>
      <c r="D20" s="125"/>
      <c r="E20" s="114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6"/>
      <c r="B21" s="87"/>
      <c r="C21" s="124"/>
      <c r="D21" s="125"/>
      <c r="E21" s="114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3"/>
      <c r="B22" s="87"/>
      <c r="C22" s="124"/>
      <c r="D22" s="125"/>
      <c r="E22" s="114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6"/>
      <c r="B23" s="87"/>
      <c r="C23" s="25"/>
      <c r="D23" s="127"/>
      <c r="E23" s="114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6"/>
      <c r="B24" s="87"/>
      <c r="C24" s="25"/>
      <c r="D24" s="127"/>
      <c r="E24" s="114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6"/>
      <c r="B25" s="87"/>
      <c r="C25" s="25"/>
      <c r="D25" s="127"/>
      <c r="E25" s="114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6"/>
      <c r="B26" s="25"/>
      <c r="C26" s="25"/>
      <c r="D26" s="127"/>
      <c r="E26" s="114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6"/>
      <c r="B27" s="25"/>
      <c r="C27" s="25"/>
      <c r="D27" s="127"/>
      <c r="E27" s="114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6"/>
      <c r="B28" s="25"/>
      <c r="C28" s="25"/>
      <c r="D28" s="127"/>
      <c r="E28" s="114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7"/>
      <c r="B29" s="25"/>
      <c r="C29" s="25"/>
      <c r="D29" s="25"/>
      <c r="E29" s="114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7"/>
      <c r="B30" s="25"/>
      <c r="C30" s="25"/>
      <c r="D30" s="25"/>
      <c r="E30" s="114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7"/>
      <c r="B31" s="25"/>
      <c r="C31" s="25"/>
      <c r="D31" s="25"/>
      <c r="E31" s="114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7"/>
      <c r="B32" s="25"/>
      <c r="C32" s="25"/>
      <c r="D32" s="25"/>
      <c r="E32" s="114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7"/>
      <c r="B33" s="25"/>
      <c r="C33" s="25"/>
      <c r="D33" s="25"/>
      <c r="E33" s="114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7"/>
      <c r="B34" s="25"/>
      <c r="C34" s="25"/>
      <c r="D34" s="25"/>
      <c r="E34" s="114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7"/>
      <c r="B35" s="25"/>
      <c r="C35" s="25"/>
      <c r="D35" s="25"/>
      <c r="E35" s="114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7"/>
      <c r="B36" s="25"/>
      <c r="C36" s="25"/>
      <c r="D36" s="25"/>
      <c r="E36" s="114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7"/>
      <c r="B37" s="25"/>
      <c r="C37" s="25"/>
      <c r="D37" s="25"/>
      <c r="E37" s="114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4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4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4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4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4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4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4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4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4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4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4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4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4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4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4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4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4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4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4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4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4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4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4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4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4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4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4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4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4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4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4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4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4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4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4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4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4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4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4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4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4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4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4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4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4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4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4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4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4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4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4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4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4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4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4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4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4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4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4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4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4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4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4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4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4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4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4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4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4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4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4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4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4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4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4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4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4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4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4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4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4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4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4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4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4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4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4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4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4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4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4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4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4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4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4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4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4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4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4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4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4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4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4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4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4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4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4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5"/>
      <c r="V971" s="115"/>
      <c r="W971" s="115"/>
      <c r="X971" s="115"/>
      <c r="Y971" s="115"/>
      <c r="Z971" s="115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5"/>
      <c r="V972" s="115"/>
      <c r="W972" s="115"/>
      <c r="X972" s="115"/>
      <c r="Y972" s="115"/>
      <c r="Z972" s="115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5"/>
      <c r="V973" s="115"/>
      <c r="W973" s="115"/>
      <c r="X973" s="115"/>
      <c r="Y973" s="115"/>
      <c r="Z973" s="115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5"/>
      <c r="V974" s="115"/>
      <c r="W974" s="115"/>
      <c r="X974" s="115"/>
      <c r="Y974" s="115"/>
      <c r="Z974" s="115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5"/>
      <c r="V975" s="115"/>
      <c r="W975" s="115"/>
      <c r="X975" s="115"/>
      <c r="Y975" s="115"/>
      <c r="Z975" s="115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5"/>
      <c r="V976" s="115"/>
      <c r="W976" s="115"/>
      <c r="X976" s="115"/>
      <c r="Y976" s="115"/>
      <c r="Z976" s="115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5"/>
      <c r="V977" s="115"/>
      <c r="W977" s="115"/>
      <c r="X977" s="115"/>
      <c r="Y977" s="115"/>
      <c r="Z977" s="115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5"/>
      <c r="V978" s="115"/>
      <c r="W978" s="115"/>
      <c r="X978" s="115"/>
      <c r="Y978" s="115"/>
      <c r="Z978" s="115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5"/>
      <c r="V979" s="115"/>
      <c r="W979" s="115"/>
      <c r="X979" s="115"/>
      <c r="Y979" s="115"/>
      <c r="Z979" s="115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5"/>
      <c r="V980" s="115"/>
      <c r="W980" s="115"/>
      <c r="X980" s="115"/>
      <c r="Y980" s="115"/>
      <c r="Z980" s="115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5"/>
      <c r="V981" s="115"/>
      <c r="W981" s="115"/>
      <c r="X981" s="115"/>
      <c r="Y981" s="115"/>
      <c r="Z981" s="115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5"/>
      <c r="V982" s="115"/>
      <c r="W982" s="115"/>
      <c r="X982" s="115"/>
      <c r="Y982" s="115"/>
      <c r="Z982" s="115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5"/>
      <c r="V983" s="115"/>
      <c r="W983" s="115"/>
      <c r="X983" s="115"/>
      <c r="Y983" s="115"/>
      <c r="Z983" s="115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5"/>
      <c r="V984" s="115"/>
      <c r="W984" s="115"/>
      <c r="X984" s="115"/>
      <c r="Y984" s="115"/>
      <c r="Z984" s="115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5"/>
      <c r="V985" s="115"/>
      <c r="W985" s="115"/>
      <c r="X985" s="115"/>
      <c r="Y985" s="115"/>
      <c r="Z985" s="115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5"/>
      <c r="V986" s="115"/>
      <c r="W986" s="115"/>
      <c r="X986" s="115"/>
      <c r="Y986" s="115"/>
      <c r="Z986" s="115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5"/>
      <c r="V987" s="115"/>
      <c r="W987" s="115"/>
      <c r="X987" s="115"/>
      <c r="Y987" s="115"/>
      <c r="Z987" s="115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5"/>
      <c r="V988" s="115"/>
      <c r="W988" s="115"/>
      <c r="X988" s="115"/>
      <c r="Y988" s="115"/>
      <c r="Z988" s="115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5"/>
      <c r="V989" s="115"/>
      <c r="W989" s="115"/>
      <c r="X989" s="115"/>
      <c r="Y989" s="115"/>
      <c r="Z989" s="115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5"/>
      <c r="V990" s="115"/>
      <c r="W990" s="115"/>
      <c r="X990" s="115"/>
      <c r="Y990" s="115"/>
      <c r="Z990" s="115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5"/>
      <c r="V991" s="115"/>
      <c r="W991" s="115"/>
      <c r="X991" s="115"/>
      <c r="Y991" s="115"/>
      <c r="Z991" s="115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5"/>
      <c r="V992" s="115"/>
      <c r="W992" s="115"/>
      <c r="X992" s="115"/>
      <c r="Y992" s="115"/>
      <c r="Z992" s="115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5"/>
      <c r="V993" s="115"/>
      <c r="W993" s="115"/>
      <c r="X993" s="115"/>
      <c r="Y993" s="115"/>
      <c r="Z993" s="115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5"/>
      <c r="V994" s="115"/>
      <c r="W994" s="115"/>
      <c r="X994" s="115"/>
      <c r="Y994" s="115"/>
      <c r="Z994" s="115"/>
    </row>
    <row r="995">
      <c r="A995" s="4"/>
      <c r="B995" s="4"/>
      <c r="C995" s="4"/>
      <c r="D995" s="4"/>
      <c r="E995" s="4"/>
      <c r="F995" s="4"/>
      <c r="G995" s="4"/>
      <c r="H995" s="11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5"/>
      <c r="V995" s="115"/>
      <c r="W995" s="115"/>
      <c r="X995" s="115"/>
      <c r="Y995" s="115"/>
      <c r="Z995" s="115"/>
    </row>
    <row r="996">
      <c r="A996" s="4"/>
      <c r="B996" s="4"/>
      <c r="C996" s="4"/>
      <c r="D996" s="4"/>
      <c r="E996" s="4"/>
      <c r="F996" s="4"/>
      <c r="G996" s="4"/>
      <c r="H996" s="11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5"/>
      <c r="V996" s="115"/>
      <c r="W996" s="115"/>
      <c r="X996" s="115"/>
      <c r="Y996" s="115"/>
      <c r="Z996" s="115"/>
    </row>
    <row r="997">
      <c r="A997" s="4"/>
      <c r="B997" s="4"/>
      <c r="C997" s="4"/>
      <c r="D997" s="4"/>
      <c r="E997" s="4"/>
      <c r="F997" s="4"/>
      <c r="G997" s="4"/>
      <c r="H997" s="11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5"/>
      <c r="V997" s="115"/>
      <c r="W997" s="115"/>
      <c r="X997" s="115"/>
      <c r="Y997" s="115"/>
      <c r="Z997" s="115"/>
    </row>
    <row r="998">
      <c r="A998" s="4"/>
      <c r="B998" s="4"/>
      <c r="C998" s="4"/>
      <c r="D998" s="4"/>
      <c r="E998" s="4"/>
      <c r="F998" s="4"/>
      <c r="G998" s="4"/>
      <c r="H998" s="11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5"/>
      <c r="V998" s="115"/>
      <c r="W998" s="115"/>
      <c r="X998" s="115"/>
      <c r="Y998" s="115"/>
      <c r="Z998" s="115"/>
    </row>
    <row r="999">
      <c r="A999" s="4"/>
      <c r="B999" s="4"/>
      <c r="C999" s="4"/>
      <c r="D999" s="4"/>
      <c r="E999" s="4"/>
      <c r="F999" s="4"/>
      <c r="G999" s="4"/>
      <c r="H999" s="11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5"/>
      <c r="V999" s="115"/>
      <c r="W999" s="115"/>
      <c r="X999" s="115"/>
      <c r="Y999" s="115"/>
      <c r="Z999" s="115"/>
    </row>
    <row r="1000">
      <c r="A1000" s="4"/>
      <c r="B1000" s="4"/>
      <c r="C1000" s="4"/>
      <c r="D1000" s="4"/>
      <c r="E1000" s="4"/>
      <c r="F1000" s="4"/>
      <c r="G1000" s="4"/>
      <c r="H1000" s="11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5"/>
      <c r="V1000" s="115"/>
      <c r="W1000" s="115"/>
      <c r="X1000" s="115"/>
      <c r="Y1000" s="115"/>
      <c r="Z1000" s="115"/>
    </row>
    <row r="1001">
      <c r="A1001" s="4"/>
      <c r="B1001" s="4"/>
      <c r="C1001" s="4"/>
      <c r="D1001" s="4"/>
      <c r="E1001" s="4"/>
      <c r="F1001" s="4"/>
      <c r="G1001" s="4"/>
      <c r="H1001" s="11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5"/>
      <c r="V1001" s="115"/>
      <c r="W1001" s="115"/>
      <c r="X1001" s="115"/>
      <c r="Y1001" s="115"/>
      <c r="Z1001" s="115"/>
    </row>
    <row r="1002">
      <c r="A1002" s="4"/>
      <c r="B1002" s="4"/>
      <c r="C1002" s="4"/>
      <c r="D1002" s="4"/>
      <c r="E1002" s="4"/>
      <c r="F1002" s="4"/>
      <c r="G1002" s="4"/>
      <c r="H1002" s="11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5"/>
      <c r="V1002" s="115"/>
      <c r="W1002" s="115"/>
      <c r="X1002" s="115"/>
      <c r="Y1002" s="115"/>
      <c r="Z1002" s="115"/>
    </row>
    <row r="1003">
      <c r="A1003" s="4"/>
      <c r="B1003" s="4"/>
      <c r="C1003" s="4"/>
      <c r="D1003" s="4"/>
      <c r="E1003" s="4"/>
      <c r="F1003" s="4"/>
      <c r="G1003" s="4"/>
      <c r="H1003" s="11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5"/>
      <c r="V1003" s="115"/>
      <c r="W1003" s="115"/>
      <c r="X1003" s="115"/>
      <c r="Y1003" s="115"/>
      <c r="Z1003" s="115"/>
    </row>
    <row r="1004">
      <c r="A1004" s="4"/>
      <c r="B1004" s="4"/>
      <c r="C1004" s="4"/>
      <c r="D1004" s="4"/>
      <c r="E1004" s="4"/>
      <c r="F1004" s="4"/>
      <c r="G1004" s="4"/>
      <c r="H1004" s="11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5"/>
      <c r="V1004" s="115"/>
      <c r="W1004" s="115"/>
      <c r="X1004" s="115"/>
      <c r="Y1004" s="115"/>
      <c r="Z1004" s="115"/>
    </row>
    <row r="1005">
      <c r="A1005" s="4"/>
      <c r="B1005" s="4"/>
      <c r="C1005" s="4"/>
      <c r="D1005" s="4"/>
      <c r="E1005" s="4"/>
      <c r="F1005" s="4"/>
      <c r="G1005" s="4"/>
      <c r="H1005" s="11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5"/>
      <c r="V1005" s="115"/>
      <c r="W1005" s="115"/>
      <c r="X1005" s="115"/>
      <c r="Y1005" s="115"/>
      <c r="Z1005" s="115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18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18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18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18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18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18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18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9"/>
      <c r="B16" s="110"/>
      <c r="C16" s="120"/>
      <c r="D16" s="121"/>
      <c r="E16" s="122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9"/>
      <c r="B17" s="110"/>
      <c r="C17" s="120"/>
      <c r="D17" s="121"/>
      <c r="E17" s="122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9"/>
      <c r="B18" s="110"/>
      <c r="C18" s="120"/>
      <c r="D18" s="121"/>
      <c r="E18" s="122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3"/>
      <c r="B19" s="87"/>
      <c r="C19" s="124"/>
      <c r="D19" s="125"/>
      <c r="E19" s="114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6"/>
      <c r="B20" s="87"/>
      <c r="C20" s="124"/>
      <c r="D20" s="125"/>
      <c r="E20" s="114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6"/>
      <c r="B21" s="87"/>
      <c r="C21" s="124"/>
      <c r="D21" s="125"/>
      <c r="E21" s="114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3"/>
      <c r="B22" s="87"/>
      <c r="C22" s="124"/>
      <c r="D22" s="125"/>
      <c r="E22" s="114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6"/>
      <c r="B23" s="87"/>
      <c r="C23" s="25"/>
      <c r="D23" s="127"/>
      <c r="E23" s="114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6"/>
      <c r="B24" s="87"/>
      <c r="C24" s="25"/>
      <c r="D24" s="127"/>
      <c r="E24" s="114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6"/>
      <c r="B25" s="87"/>
      <c r="C25" s="25"/>
      <c r="D25" s="127"/>
      <c r="E25" s="114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6"/>
      <c r="B26" s="25"/>
      <c r="C26" s="25"/>
      <c r="D26" s="127"/>
      <c r="E26" s="114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6"/>
      <c r="B27" s="25"/>
      <c r="C27" s="25"/>
      <c r="D27" s="127"/>
      <c r="E27" s="114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6"/>
      <c r="B28" s="25"/>
      <c r="C28" s="25"/>
      <c r="D28" s="127"/>
      <c r="E28" s="114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7"/>
      <c r="B29" s="25"/>
      <c r="C29" s="25"/>
      <c r="D29" s="25"/>
      <c r="E29" s="114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7"/>
      <c r="B30" s="25"/>
      <c r="C30" s="25"/>
      <c r="D30" s="25"/>
      <c r="E30" s="114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7"/>
      <c r="B31" s="25"/>
      <c r="C31" s="25"/>
      <c r="D31" s="25"/>
      <c r="E31" s="114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7"/>
      <c r="B32" s="25"/>
      <c r="C32" s="25"/>
      <c r="D32" s="25"/>
      <c r="E32" s="114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7"/>
      <c r="B33" s="25"/>
      <c r="C33" s="25"/>
      <c r="D33" s="25"/>
      <c r="E33" s="114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7"/>
      <c r="B34" s="25"/>
      <c r="C34" s="25"/>
      <c r="D34" s="25"/>
      <c r="E34" s="114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7"/>
      <c r="B35" s="25"/>
      <c r="C35" s="25"/>
      <c r="D35" s="25"/>
      <c r="E35" s="114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7"/>
      <c r="B36" s="25"/>
      <c r="C36" s="25"/>
      <c r="D36" s="25"/>
      <c r="E36" s="114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7"/>
      <c r="B37" s="25"/>
      <c r="C37" s="25"/>
      <c r="D37" s="25"/>
      <c r="E37" s="114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4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4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4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4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4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4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4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4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4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4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4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4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4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4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4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4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4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4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4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4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4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4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4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4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4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4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4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4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4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4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4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4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4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4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4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4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4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4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4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4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4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4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4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4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4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4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4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4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4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4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4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4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4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4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4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4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4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4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4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4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4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4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4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4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4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4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4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4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4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4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4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4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4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4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4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4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4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4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4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4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4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4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4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4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4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4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4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4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4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4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4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4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4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4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4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4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4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4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4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4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4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4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4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4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4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4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4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5"/>
      <c r="V971" s="115"/>
      <c r="W971" s="115"/>
      <c r="X971" s="115"/>
      <c r="Y971" s="115"/>
      <c r="Z971" s="115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5"/>
      <c r="V972" s="115"/>
      <c r="W972" s="115"/>
      <c r="X972" s="115"/>
      <c r="Y972" s="115"/>
      <c r="Z972" s="115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5"/>
      <c r="V973" s="115"/>
      <c r="W973" s="115"/>
      <c r="X973" s="115"/>
      <c r="Y973" s="115"/>
      <c r="Z973" s="115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5"/>
      <c r="V974" s="115"/>
      <c r="W974" s="115"/>
      <c r="X974" s="115"/>
      <c r="Y974" s="115"/>
      <c r="Z974" s="115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5"/>
      <c r="V975" s="115"/>
      <c r="W975" s="115"/>
      <c r="X975" s="115"/>
      <c r="Y975" s="115"/>
      <c r="Z975" s="115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5"/>
      <c r="V976" s="115"/>
      <c r="W976" s="115"/>
      <c r="X976" s="115"/>
      <c r="Y976" s="115"/>
      <c r="Z976" s="115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5"/>
      <c r="V977" s="115"/>
      <c r="W977" s="115"/>
      <c r="X977" s="115"/>
      <c r="Y977" s="115"/>
      <c r="Z977" s="115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5"/>
      <c r="V978" s="115"/>
      <c r="W978" s="115"/>
      <c r="X978" s="115"/>
      <c r="Y978" s="115"/>
      <c r="Z978" s="115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5"/>
      <c r="V979" s="115"/>
      <c r="W979" s="115"/>
      <c r="X979" s="115"/>
      <c r="Y979" s="115"/>
      <c r="Z979" s="115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5"/>
      <c r="V980" s="115"/>
      <c r="W980" s="115"/>
      <c r="X980" s="115"/>
      <c r="Y980" s="115"/>
      <c r="Z980" s="115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5"/>
      <c r="V981" s="115"/>
      <c r="W981" s="115"/>
      <c r="X981" s="115"/>
      <c r="Y981" s="115"/>
      <c r="Z981" s="115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5"/>
      <c r="V982" s="115"/>
      <c r="W982" s="115"/>
      <c r="X982" s="115"/>
      <c r="Y982" s="115"/>
      <c r="Z982" s="115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5"/>
      <c r="V983" s="115"/>
      <c r="W983" s="115"/>
      <c r="X983" s="115"/>
      <c r="Y983" s="115"/>
      <c r="Z983" s="115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5"/>
      <c r="V984" s="115"/>
      <c r="W984" s="115"/>
      <c r="X984" s="115"/>
      <c r="Y984" s="115"/>
      <c r="Z984" s="115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5"/>
      <c r="V985" s="115"/>
      <c r="W985" s="115"/>
      <c r="X985" s="115"/>
      <c r="Y985" s="115"/>
      <c r="Z985" s="115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5"/>
      <c r="V986" s="115"/>
      <c r="W986" s="115"/>
      <c r="X986" s="115"/>
      <c r="Y986" s="115"/>
      <c r="Z986" s="115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5"/>
      <c r="V987" s="115"/>
      <c r="W987" s="115"/>
      <c r="X987" s="115"/>
      <c r="Y987" s="115"/>
      <c r="Z987" s="115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5"/>
      <c r="V988" s="115"/>
      <c r="W988" s="115"/>
      <c r="X988" s="115"/>
      <c r="Y988" s="115"/>
      <c r="Z988" s="115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5"/>
      <c r="V989" s="115"/>
      <c r="W989" s="115"/>
      <c r="X989" s="115"/>
      <c r="Y989" s="115"/>
      <c r="Z989" s="115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5"/>
      <c r="V990" s="115"/>
      <c r="W990" s="115"/>
      <c r="X990" s="115"/>
      <c r="Y990" s="115"/>
      <c r="Z990" s="115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5"/>
      <c r="V991" s="115"/>
      <c r="W991" s="115"/>
      <c r="X991" s="115"/>
      <c r="Y991" s="115"/>
      <c r="Z991" s="115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5"/>
      <c r="V992" s="115"/>
      <c r="W992" s="115"/>
      <c r="X992" s="115"/>
      <c r="Y992" s="115"/>
      <c r="Z992" s="115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5"/>
      <c r="V993" s="115"/>
      <c r="W993" s="115"/>
      <c r="X993" s="115"/>
      <c r="Y993" s="115"/>
      <c r="Z993" s="115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5"/>
      <c r="V994" s="115"/>
      <c r="W994" s="115"/>
      <c r="X994" s="115"/>
      <c r="Y994" s="115"/>
      <c r="Z994" s="115"/>
    </row>
    <row r="995">
      <c r="A995" s="4"/>
      <c r="B995" s="4"/>
      <c r="C995" s="4"/>
      <c r="D995" s="4"/>
      <c r="E995" s="4"/>
      <c r="F995" s="4"/>
      <c r="G995" s="4"/>
      <c r="H995" s="11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5"/>
      <c r="V995" s="115"/>
      <c r="W995" s="115"/>
      <c r="X995" s="115"/>
      <c r="Y995" s="115"/>
      <c r="Z995" s="115"/>
    </row>
    <row r="996">
      <c r="A996" s="4"/>
      <c r="B996" s="4"/>
      <c r="C996" s="4"/>
      <c r="D996" s="4"/>
      <c r="E996" s="4"/>
      <c r="F996" s="4"/>
      <c r="G996" s="4"/>
      <c r="H996" s="11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5"/>
      <c r="V996" s="115"/>
      <c r="W996" s="115"/>
      <c r="X996" s="115"/>
      <c r="Y996" s="115"/>
      <c r="Z996" s="115"/>
    </row>
    <row r="997">
      <c r="A997" s="4"/>
      <c r="B997" s="4"/>
      <c r="C997" s="4"/>
      <c r="D997" s="4"/>
      <c r="E997" s="4"/>
      <c r="F997" s="4"/>
      <c r="G997" s="4"/>
      <c r="H997" s="11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5"/>
      <c r="V997" s="115"/>
      <c r="W997" s="115"/>
      <c r="X997" s="115"/>
      <c r="Y997" s="115"/>
      <c r="Z997" s="115"/>
    </row>
    <row r="998">
      <c r="A998" s="4"/>
      <c r="B998" s="4"/>
      <c r="C998" s="4"/>
      <c r="D998" s="4"/>
      <c r="E998" s="4"/>
      <c r="F998" s="4"/>
      <c r="G998" s="4"/>
      <c r="H998" s="11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5"/>
      <c r="V998" s="115"/>
      <c r="W998" s="115"/>
      <c r="X998" s="115"/>
      <c r="Y998" s="115"/>
      <c r="Z998" s="115"/>
    </row>
    <row r="999">
      <c r="A999" s="4"/>
      <c r="B999" s="4"/>
      <c r="C999" s="4"/>
      <c r="D999" s="4"/>
      <c r="E999" s="4"/>
      <c r="F999" s="4"/>
      <c r="G999" s="4"/>
      <c r="H999" s="11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5"/>
      <c r="V999" s="115"/>
      <c r="W999" s="115"/>
      <c r="X999" s="115"/>
      <c r="Y999" s="115"/>
      <c r="Z999" s="115"/>
    </row>
    <row r="1000">
      <c r="A1000" s="4"/>
      <c r="B1000" s="4"/>
      <c r="C1000" s="4"/>
      <c r="D1000" s="4"/>
      <c r="E1000" s="4"/>
      <c r="F1000" s="4"/>
      <c r="G1000" s="4"/>
      <c r="H1000" s="11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5"/>
      <c r="V1000" s="115"/>
      <c r="W1000" s="115"/>
      <c r="X1000" s="115"/>
      <c r="Y1000" s="115"/>
      <c r="Z1000" s="115"/>
    </row>
    <row r="1001">
      <c r="A1001" s="4"/>
      <c r="B1001" s="4"/>
      <c r="C1001" s="4"/>
      <c r="D1001" s="4"/>
      <c r="E1001" s="4"/>
      <c r="F1001" s="4"/>
      <c r="G1001" s="4"/>
      <c r="H1001" s="11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5"/>
      <c r="V1001" s="115"/>
      <c r="W1001" s="115"/>
      <c r="X1001" s="115"/>
      <c r="Y1001" s="115"/>
      <c r="Z1001" s="115"/>
    </row>
    <row r="1002">
      <c r="A1002" s="4"/>
      <c r="B1002" s="4"/>
      <c r="C1002" s="4"/>
      <c r="D1002" s="4"/>
      <c r="E1002" s="4"/>
      <c r="F1002" s="4"/>
      <c r="G1002" s="4"/>
      <c r="H1002" s="11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5"/>
      <c r="V1002" s="115"/>
      <c r="W1002" s="115"/>
      <c r="X1002" s="115"/>
      <c r="Y1002" s="115"/>
      <c r="Z1002" s="115"/>
    </row>
    <row r="1003">
      <c r="A1003" s="4"/>
      <c r="B1003" s="4"/>
      <c r="C1003" s="4"/>
      <c r="D1003" s="4"/>
      <c r="E1003" s="4"/>
      <c r="F1003" s="4"/>
      <c r="G1003" s="4"/>
      <c r="H1003" s="11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5"/>
      <c r="V1003" s="115"/>
      <c r="W1003" s="115"/>
      <c r="X1003" s="115"/>
      <c r="Y1003" s="115"/>
      <c r="Z1003" s="115"/>
    </row>
    <row r="1004">
      <c r="A1004" s="4"/>
      <c r="B1004" s="4"/>
      <c r="C1004" s="4"/>
      <c r="D1004" s="4"/>
      <c r="E1004" s="4"/>
      <c r="F1004" s="4"/>
      <c r="G1004" s="4"/>
      <c r="H1004" s="11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5"/>
      <c r="V1004" s="115"/>
      <c r="W1004" s="115"/>
      <c r="X1004" s="115"/>
      <c r="Y1004" s="115"/>
      <c r="Z1004" s="115"/>
    </row>
    <row r="1005">
      <c r="A1005" s="4"/>
      <c r="B1005" s="4"/>
      <c r="C1005" s="4"/>
      <c r="D1005" s="4"/>
      <c r="E1005" s="4"/>
      <c r="F1005" s="4"/>
      <c r="G1005" s="4"/>
      <c r="H1005" s="11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5"/>
      <c r="V1005" s="115"/>
      <c r="W1005" s="115"/>
      <c r="X1005" s="115"/>
      <c r="Y1005" s="115"/>
      <c r="Z1005" s="115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18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18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18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18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18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18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18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9"/>
      <c r="B16" s="110"/>
      <c r="C16" s="120"/>
      <c r="D16" s="121"/>
      <c r="E16" s="122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9"/>
      <c r="B17" s="110"/>
      <c r="C17" s="120"/>
      <c r="D17" s="121"/>
      <c r="E17" s="122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9"/>
      <c r="B18" s="110"/>
      <c r="C18" s="120"/>
      <c r="D18" s="121"/>
      <c r="E18" s="122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3"/>
      <c r="B19" s="87"/>
      <c r="C19" s="124"/>
      <c r="D19" s="125"/>
      <c r="E19" s="114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6"/>
      <c r="B20" s="87"/>
      <c r="C20" s="124"/>
      <c r="D20" s="125"/>
      <c r="E20" s="114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6"/>
      <c r="B21" s="87"/>
      <c r="C21" s="124"/>
      <c r="D21" s="125"/>
      <c r="E21" s="114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3"/>
      <c r="B22" s="87"/>
      <c r="C22" s="124"/>
      <c r="D22" s="125"/>
      <c r="E22" s="114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6"/>
      <c r="B23" s="87"/>
      <c r="C23" s="25"/>
      <c r="D23" s="127"/>
      <c r="E23" s="114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6"/>
      <c r="B24" s="87"/>
      <c r="C24" s="25"/>
      <c r="D24" s="127"/>
      <c r="E24" s="114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6"/>
      <c r="B25" s="87"/>
      <c r="C25" s="25"/>
      <c r="D25" s="127"/>
      <c r="E25" s="114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6"/>
      <c r="B26" s="25"/>
      <c r="C26" s="25"/>
      <c r="D26" s="127"/>
      <c r="E26" s="114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6"/>
      <c r="B27" s="25"/>
      <c r="C27" s="25"/>
      <c r="D27" s="127"/>
      <c r="E27" s="114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6"/>
      <c r="B28" s="25"/>
      <c r="C28" s="25"/>
      <c r="D28" s="127"/>
      <c r="E28" s="114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7"/>
      <c r="B29" s="25"/>
      <c r="C29" s="25"/>
      <c r="D29" s="25"/>
      <c r="E29" s="114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7"/>
      <c r="B30" s="25"/>
      <c r="C30" s="25"/>
      <c r="D30" s="25"/>
      <c r="E30" s="114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7"/>
      <c r="B31" s="25"/>
      <c r="C31" s="25"/>
      <c r="D31" s="25"/>
      <c r="E31" s="114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7"/>
      <c r="B32" s="25"/>
      <c r="C32" s="25"/>
      <c r="D32" s="25"/>
      <c r="E32" s="114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7"/>
      <c r="B33" s="25"/>
      <c r="C33" s="25"/>
      <c r="D33" s="25"/>
      <c r="E33" s="114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7"/>
      <c r="B34" s="25"/>
      <c r="C34" s="25"/>
      <c r="D34" s="25"/>
      <c r="E34" s="114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7"/>
      <c r="B35" s="25"/>
      <c r="C35" s="25"/>
      <c r="D35" s="25"/>
      <c r="E35" s="114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7"/>
      <c r="B36" s="25"/>
      <c r="C36" s="25"/>
      <c r="D36" s="25"/>
      <c r="E36" s="114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7"/>
      <c r="B37" s="25"/>
      <c r="C37" s="25"/>
      <c r="D37" s="25"/>
      <c r="E37" s="114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4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4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4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4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4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4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4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4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4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4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4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4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4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4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4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4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4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4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4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4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4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4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4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4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4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4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4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4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4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4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4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4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4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4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4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4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4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4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4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4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4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4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4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4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4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4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4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4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4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4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4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4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4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4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4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4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4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4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4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4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4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4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4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4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4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4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4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4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4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4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4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4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4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4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4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4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4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4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4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4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4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4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4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4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4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4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4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4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4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4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4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4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4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4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4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4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4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4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4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4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4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4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4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4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4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4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4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5"/>
      <c r="V971" s="115"/>
      <c r="W971" s="115"/>
      <c r="X971" s="115"/>
      <c r="Y971" s="115"/>
      <c r="Z971" s="115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5"/>
      <c r="V972" s="115"/>
      <c r="W972" s="115"/>
      <c r="X972" s="115"/>
      <c r="Y972" s="115"/>
      <c r="Z972" s="115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5"/>
      <c r="V973" s="115"/>
      <c r="W973" s="115"/>
      <c r="X973" s="115"/>
      <c r="Y973" s="115"/>
      <c r="Z973" s="115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5"/>
      <c r="V974" s="115"/>
      <c r="W974" s="115"/>
      <c r="X974" s="115"/>
      <c r="Y974" s="115"/>
      <c r="Z974" s="115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5"/>
      <c r="V975" s="115"/>
      <c r="W975" s="115"/>
      <c r="X975" s="115"/>
      <c r="Y975" s="115"/>
      <c r="Z975" s="115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5"/>
      <c r="V976" s="115"/>
      <c r="W976" s="115"/>
      <c r="X976" s="115"/>
      <c r="Y976" s="115"/>
      <c r="Z976" s="115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5"/>
      <c r="V977" s="115"/>
      <c r="W977" s="115"/>
      <c r="X977" s="115"/>
      <c r="Y977" s="115"/>
      <c r="Z977" s="115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5"/>
      <c r="V978" s="115"/>
      <c r="W978" s="115"/>
      <c r="X978" s="115"/>
      <c r="Y978" s="115"/>
      <c r="Z978" s="115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5"/>
      <c r="V979" s="115"/>
      <c r="W979" s="115"/>
      <c r="X979" s="115"/>
      <c r="Y979" s="115"/>
      <c r="Z979" s="115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5"/>
      <c r="V980" s="115"/>
      <c r="W980" s="115"/>
      <c r="X980" s="115"/>
      <c r="Y980" s="115"/>
      <c r="Z980" s="115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5"/>
      <c r="V981" s="115"/>
      <c r="W981" s="115"/>
      <c r="X981" s="115"/>
      <c r="Y981" s="115"/>
      <c r="Z981" s="115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5"/>
      <c r="V982" s="115"/>
      <c r="W982" s="115"/>
      <c r="X982" s="115"/>
      <c r="Y982" s="115"/>
      <c r="Z982" s="115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5"/>
      <c r="V983" s="115"/>
      <c r="W983" s="115"/>
      <c r="X983" s="115"/>
      <c r="Y983" s="115"/>
      <c r="Z983" s="115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5"/>
      <c r="V984" s="115"/>
      <c r="W984" s="115"/>
      <c r="X984" s="115"/>
      <c r="Y984" s="115"/>
      <c r="Z984" s="115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5"/>
      <c r="V985" s="115"/>
      <c r="W985" s="115"/>
      <c r="X985" s="115"/>
      <c r="Y985" s="115"/>
      <c r="Z985" s="115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5"/>
      <c r="V986" s="115"/>
      <c r="W986" s="115"/>
      <c r="X986" s="115"/>
      <c r="Y986" s="115"/>
      <c r="Z986" s="115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5"/>
      <c r="V987" s="115"/>
      <c r="W987" s="115"/>
      <c r="X987" s="115"/>
      <c r="Y987" s="115"/>
      <c r="Z987" s="115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5"/>
      <c r="V988" s="115"/>
      <c r="W988" s="115"/>
      <c r="X988" s="115"/>
      <c r="Y988" s="115"/>
      <c r="Z988" s="115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5"/>
      <c r="V989" s="115"/>
      <c r="W989" s="115"/>
      <c r="X989" s="115"/>
      <c r="Y989" s="115"/>
      <c r="Z989" s="115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5"/>
      <c r="V990" s="115"/>
      <c r="W990" s="115"/>
      <c r="X990" s="115"/>
      <c r="Y990" s="115"/>
      <c r="Z990" s="115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5"/>
      <c r="V991" s="115"/>
      <c r="W991" s="115"/>
      <c r="X991" s="115"/>
      <c r="Y991" s="115"/>
      <c r="Z991" s="115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5"/>
      <c r="V992" s="115"/>
      <c r="W992" s="115"/>
      <c r="X992" s="115"/>
      <c r="Y992" s="115"/>
      <c r="Z992" s="115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5"/>
      <c r="V993" s="115"/>
      <c r="W993" s="115"/>
      <c r="X993" s="115"/>
      <c r="Y993" s="115"/>
      <c r="Z993" s="115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5"/>
      <c r="V994" s="115"/>
      <c r="W994" s="115"/>
      <c r="X994" s="115"/>
      <c r="Y994" s="115"/>
      <c r="Z994" s="115"/>
    </row>
    <row r="995">
      <c r="A995" s="4"/>
      <c r="B995" s="4"/>
      <c r="C995" s="4"/>
      <c r="D995" s="4"/>
      <c r="E995" s="4"/>
      <c r="F995" s="4"/>
      <c r="G995" s="4"/>
      <c r="H995" s="11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5"/>
      <c r="V995" s="115"/>
      <c r="W995" s="115"/>
      <c r="X995" s="115"/>
      <c r="Y995" s="115"/>
      <c r="Z995" s="115"/>
    </row>
    <row r="996">
      <c r="A996" s="4"/>
      <c r="B996" s="4"/>
      <c r="C996" s="4"/>
      <c r="D996" s="4"/>
      <c r="E996" s="4"/>
      <c r="F996" s="4"/>
      <c r="G996" s="4"/>
      <c r="H996" s="11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5"/>
      <c r="V996" s="115"/>
      <c r="W996" s="115"/>
      <c r="X996" s="115"/>
      <c r="Y996" s="115"/>
      <c r="Z996" s="115"/>
    </row>
    <row r="997">
      <c r="A997" s="4"/>
      <c r="B997" s="4"/>
      <c r="C997" s="4"/>
      <c r="D997" s="4"/>
      <c r="E997" s="4"/>
      <c r="F997" s="4"/>
      <c r="G997" s="4"/>
      <c r="H997" s="11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5"/>
      <c r="V997" s="115"/>
      <c r="W997" s="115"/>
      <c r="X997" s="115"/>
      <c r="Y997" s="115"/>
      <c r="Z997" s="115"/>
    </row>
    <row r="998">
      <c r="A998" s="4"/>
      <c r="B998" s="4"/>
      <c r="C998" s="4"/>
      <c r="D998" s="4"/>
      <c r="E998" s="4"/>
      <c r="F998" s="4"/>
      <c r="G998" s="4"/>
      <c r="H998" s="11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5"/>
      <c r="V998" s="115"/>
      <c r="W998" s="115"/>
      <c r="X998" s="115"/>
      <c r="Y998" s="115"/>
      <c r="Z998" s="115"/>
    </row>
    <row r="999">
      <c r="A999" s="4"/>
      <c r="B999" s="4"/>
      <c r="C999" s="4"/>
      <c r="D999" s="4"/>
      <c r="E999" s="4"/>
      <c r="F999" s="4"/>
      <c r="G999" s="4"/>
      <c r="H999" s="11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5"/>
      <c r="V999" s="115"/>
      <c r="W999" s="115"/>
      <c r="X999" s="115"/>
      <c r="Y999" s="115"/>
      <c r="Z999" s="115"/>
    </row>
    <row r="1000">
      <c r="A1000" s="4"/>
      <c r="B1000" s="4"/>
      <c r="C1000" s="4"/>
      <c r="D1000" s="4"/>
      <c r="E1000" s="4"/>
      <c r="F1000" s="4"/>
      <c r="G1000" s="4"/>
      <c r="H1000" s="11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5"/>
      <c r="V1000" s="115"/>
      <c r="W1000" s="115"/>
      <c r="X1000" s="115"/>
      <c r="Y1000" s="115"/>
      <c r="Z1000" s="115"/>
    </row>
    <row r="1001">
      <c r="A1001" s="4"/>
      <c r="B1001" s="4"/>
      <c r="C1001" s="4"/>
      <c r="D1001" s="4"/>
      <c r="E1001" s="4"/>
      <c r="F1001" s="4"/>
      <c r="G1001" s="4"/>
      <c r="H1001" s="11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5"/>
      <c r="V1001" s="115"/>
      <c r="W1001" s="115"/>
      <c r="X1001" s="115"/>
      <c r="Y1001" s="115"/>
      <c r="Z1001" s="115"/>
    </row>
    <row r="1002">
      <c r="A1002" s="4"/>
      <c r="B1002" s="4"/>
      <c r="C1002" s="4"/>
      <c r="D1002" s="4"/>
      <c r="E1002" s="4"/>
      <c r="F1002" s="4"/>
      <c r="G1002" s="4"/>
      <c r="H1002" s="11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5"/>
      <c r="V1002" s="115"/>
      <c r="W1002" s="115"/>
      <c r="X1002" s="115"/>
      <c r="Y1002" s="115"/>
      <c r="Z1002" s="115"/>
    </row>
    <row r="1003">
      <c r="A1003" s="4"/>
      <c r="B1003" s="4"/>
      <c r="C1003" s="4"/>
      <c r="D1003" s="4"/>
      <c r="E1003" s="4"/>
      <c r="F1003" s="4"/>
      <c r="G1003" s="4"/>
      <c r="H1003" s="11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5"/>
      <c r="V1003" s="115"/>
      <c r="W1003" s="115"/>
      <c r="X1003" s="115"/>
      <c r="Y1003" s="115"/>
      <c r="Z1003" s="115"/>
    </row>
    <row r="1004">
      <c r="A1004" s="4"/>
      <c r="B1004" s="4"/>
      <c r="C1004" s="4"/>
      <c r="D1004" s="4"/>
      <c r="E1004" s="4"/>
      <c r="F1004" s="4"/>
      <c r="G1004" s="4"/>
      <c r="H1004" s="11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5"/>
      <c r="V1004" s="115"/>
      <c r="W1004" s="115"/>
      <c r="X1004" s="115"/>
      <c r="Y1004" s="115"/>
      <c r="Z1004" s="115"/>
    </row>
    <row r="1005">
      <c r="A1005" s="4"/>
      <c r="B1005" s="4"/>
      <c r="C1005" s="4"/>
      <c r="D1005" s="4"/>
      <c r="E1005" s="4"/>
      <c r="F1005" s="4"/>
      <c r="G1005" s="4"/>
      <c r="H1005" s="11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5"/>
      <c r="V1005" s="115"/>
      <c r="W1005" s="115"/>
      <c r="X1005" s="115"/>
      <c r="Y1005" s="115"/>
      <c r="Z1005" s="115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18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18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18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18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18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18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18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9"/>
      <c r="B16" s="110"/>
      <c r="C16" s="120"/>
      <c r="D16" s="121"/>
      <c r="E16" s="122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9"/>
      <c r="B17" s="110"/>
      <c r="C17" s="120"/>
      <c r="D17" s="121"/>
      <c r="E17" s="122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9"/>
      <c r="B18" s="110"/>
      <c r="C18" s="120"/>
      <c r="D18" s="121"/>
      <c r="E18" s="122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3"/>
      <c r="B19" s="87"/>
      <c r="C19" s="124"/>
      <c r="D19" s="125"/>
      <c r="E19" s="114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6"/>
      <c r="B20" s="87"/>
      <c r="C20" s="124"/>
      <c r="D20" s="125"/>
      <c r="E20" s="114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6"/>
      <c r="B21" s="87"/>
      <c r="C21" s="124"/>
      <c r="D21" s="125"/>
      <c r="E21" s="114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3"/>
      <c r="B22" s="87"/>
      <c r="C22" s="124"/>
      <c r="D22" s="125"/>
      <c r="E22" s="114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6"/>
      <c r="B23" s="87"/>
      <c r="C23" s="25"/>
      <c r="D23" s="127"/>
      <c r="E23" s="114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6"/>
      <c r="B24" s="87"/>
      <c r="C24" s="25"/>
      <c r="D24" s="127"/>
      <c r="E24" s="114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6"/>
      <c r="B25" s="87"/>
      <c r="C25" s="25"/>
      <c r="D25" s="127"/>
      <c r="E25" s="114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6"/>
      <c r="B26" s="25"/>
      <c r="C26" s="25"/>
      <c r="D26" s="127"/>
      <c r="E26" s="114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6"/>
      <c r="B27" s="25"/>
      <c r="C27" s="25"/>
      <c r="D27" s="127"/>
      <c r="E27" s="114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6"/>
      <c r="B28" s="25"/>
      <c r="C28" s="25"/>
      <c r="D28" s="127"/>
      <c r="E28" s="114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7"/>
      <c r="B29" s="25"/>
      <c r="C29" s="25"/>
      <c r="D29" s="25"/>
      <c r="E29" s="114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7"/>
      <c r="B30" s="25"/>
      <c r="C30" s="25"/>
      <c r="D30" s="25"/>
      <c r="E30" s="114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7"/>
      <c r="B31" s="25"/>
      <c r="C31" s="25"/>
      <c r="D31" s="25"/>
      <c r="E31" s="114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7"/>
      <c r="B32" s="25"/>
      <c r="C32" s="25"/>
      <c r="D32" s="25"/>
      <c r="E32" s="114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7"/>
      <c r="B33" s="25"/>
      <c r="C33" s="25"/>
      <c r="D33" s="25"/>
      <c r="E33" s="114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7"/>
      <c r="B34" s="25"/>
      <c r="C34" s="25"/>
      <c r="D34" s="25"/>
      <c r="E34" s="114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7"/>
      <c r="B35" s="25"/>
      <c r="C35" s="25"/>
      <c r="D35" s="25"/>
      <c r="E35" s="114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7"/>
      <c r="B36" s="25"/>
      <c r="C36" s="25"/>
      <c r="D36" s="25"/>
      <c r="E36" s="114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7"/>
      <c r="B37" s="25"/>
      <c r="C37" s="25"/>
      <c r="D37" s="25"/>
      <c r="E37" s="114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4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4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4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4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4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4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4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4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4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4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4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4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4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4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4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4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4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4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4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4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4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4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4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4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4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4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4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4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4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4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4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4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4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4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4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4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4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4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4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4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4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4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4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4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4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4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4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4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4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4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4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4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4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4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4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4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4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4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4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4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4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4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4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4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4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4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4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4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4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4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4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4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4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4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4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4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4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4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4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4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4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4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4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4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4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4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4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4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4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4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4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4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4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4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4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4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4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4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4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4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4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4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4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4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4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4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4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5"/>
      <c r="V971" s="115"/>
      <c r="W971" s="115"/>
      <c r="X971" s="115"/>
      <c r="Y971" s="115"/>
      <c r="Z971" s="115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5"/>
      <c r="V972" s="115"/>
      <c r="W972" s="115"/>
      <c r="X972" s="115"/>
      <c r="Y972" s="115"/>
      <c r="Z972" s="115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5"/>
      <c r="V973" s="115"/>
      <c r="W973" s="115"/>
      <c r="X973" s="115"/>
      <c r="Y973" s="115"/>
      <c r="Z973" s="115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5"/>
      <c r="V974" s="115"/>
      <c r="W974" s="115"/>
      <c r="X974" s="115"/>
      <c r="Y974" s="115"/>
      <c r="Z974" s="115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5"/>
      <c r="V975" s="115"/>
      <c r="W975" s="115"/>
      <c r="X975" s="115"/>
      <c r="Y975" s="115"/>
      <c r="Z975" s="115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5"/>
      <c r="V976" s="115"/>
      <c r="W976" s="115"/>
      <c r="X976" s="115"/>
      <c r="Y976" s="115"/>
      <c r="Z976" s="115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5"/>
      <c r="V977" s="115"/>
      <c r="W977" s="115"/>
      <c r="X977" s="115"/>
      <c r="Y977" s="115"/>
      <c r="Z977" s="115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5"/>
      <c r="V978" s="115"/>
      <c r="W978" s="115"/>
      <c r="X978" s="115"/>
      <c r="Y978" s="115"/>
      <c r="Z978" s="115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5"/>
      <c r="V979" s="115"/>
      <c r="W979" s="115"/>
      <c r="X979" s="115"/>
      <c r="Y979" s="115"/>
      <c r="Z979" s="115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5"/>
      <c r="V980" s="115"/>
      <c r="W980" s="115"/>
      <c r="X980" s="115"/>
      <c r="Y980" s="115"/>
      <c r="Z980" s="115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5"/>
      <c r="V981" s="115"/>
      <c r="W981" s="115"/>
      <c r="X981" s="115"/>
      <c r="Y981" s="115"/>
      <c r="Z981" s="115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5"/>
      <c r="V982" s="115"/>
      <c r="W982" s="115"/>
      <c r="X982" s="115"/>
      <c r="Y982" s="115"/>
      <c r="Z982" s="115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5"/>
      <c r="V983" s="115"/>
      <c r="W983" s="115"/>
      <c r="X983" s="115"/>
      <c r="Y983" s="115"/>
      <c r="Z983" s="115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5"/>
      <c r="V984" s="115"/>
      <c r="W984" s="115"/>
      <c r="X984" s="115"/>
      <c r="Y984" s="115"/>
      <c r="Z984" s="115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5"/>
      <c r="V985" s="115"/>
      <c r="W985" s="115"/>
      <c r="X985" s="115"/>
      <c r="Y985" s="115"/>
      <c r="Z985" s="115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5"/>
      <c r="V986" s="115"/>
      <c r="W986" s="115"/>
      <c r="X986" s="115"/>
      <c r="Y986" s="115"/>
      <c r="Z986" s="115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5"/>
      <c r="V987" s="115"/>
      <c r="W987" s="115"/>
      <c r="X987" s="115"/>
      <c r="Y987" s="115"/>
      <c r="Z987" s="115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5"/>
      <c r="V988" s="115"/>
      <c r="W988" s="115"/>
      <c r="X988" s="115"/>
      <c r="Y988" s="115"/>
      <c r="Z988" s="115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5"/>
      <c r="V989" s="115"/>
      <c r="W989" s="115"/>
      <c r="X989" s="115"/>
      <c r="Y989" s="115"/>
      <c r="Z989" s="115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5"/>
      <c r="V990" s="115"/>
      <c r="W990" s="115"/>
      <c r="X990" s="115"/>
      <c r="Y990" s="115"/>
      <c r="Z990" s="115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5"/>
      <c r="V991" s="115"/>
      <c r="W991" s="115"/>
      <c r="X991" s="115"/>
      <c r="Y991" s="115"/>
      <c r="Z991" s="115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5"/>
      <c r="V992" s="115"/>
      <c r="W992" s="115"/>
      <c r="X992" s="115"/>
      <c r="Y992" s="115"/>
      <c r="Z992" s="115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5"/>
      <c r="V993" s="115"/>
      <c r="W993" s="115"/>
      <c r="X993" s="115"/>
      <c r="Y993" s="115"/>
      <c r="Z993" s="115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5"/>
      <c r="V994" s="115"/>
      <c r="W994" s="115"/>
      <c r="X994" s="115"/>
      <c r="Y994" s="115"/>
      <c r="Z994" s="115"/>
    </row>
    <row r="995">
      <c r="A995" s="4"/>
      <c r="B995" s="4"/>
      <c r="C995" s="4"/>
      <c r="D995" s="4"/>
      <c r="E995" s="4"/>
      <c r="F995" s="4"/>
      <c r="G995" s="4"/>
      <c r="H995" s="11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5"/>
      <c r="V995" s="115"/>
      <c r="W995" s="115"/>
      <c r="X995" s="115"/>
      <c r="Y995" s="115"/>
      <c r="Z995" s="115"/>
    </row>
    <row r="996">
      <c r="A996" s="4"/>
      <c r="B996" s="4"/>
      <c r="C996" s="4"/>
      <c r="D996" s="4"/>
      <c r="E996" s="4"/>
      <c r="F996" s="4"/>
      <c r="G996" s="4"/>
      <c r="H996" s="11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5"/>
      <c r="V996" s="115"/>
      <c r="W996" s="115"/>
      <c r="X996" s="115"/>
      <c r="Y996" s="115"/>
      <c r="Z996" s="115"/>
    </row>
    <row r="997">
      <c r="A997" s="4"/>
      <c r="B997" s="4"/>
      <c r="C997" s="4"/>
      <c r="D997" s="4"/>
      <c r="E997" s="4"/>
      <c r="F997" s="4"/>
      <c r="G997" s="4"/>
      <c r="H997" s="11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5"/>
      <c r="V997" s="115"/>
      <c r="W997" s="115"/>
      <c r="X997" s="115"/>
      <c r="Y997" s="115"/>
      <c r="Z997" s="115"/>
    </row>
    <row r="998">
      <c r="A998" s="4"/>
      <c r="B998" s="4"/>
      <c r="C998" s="4"/>
      <c r="D998" s="4"/>
      <c r="E998" s="4"/>
      <c r="F998" s="4"/>
      <c r="G998" s="4"/>
      <c r="H998" s="11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5"/>
      <c r="V998" s="115"/>
      <c r="W998" s="115"/>
      <c r="X998" s="115"/>
      <c r="Y998" s="115"/>
      <c r="Z998" s="115"/>
    </row>
    <row r="999">
      <c r="A999" s="4"/>
      <c r="B999" s="4"/>
      <c r="C999" s="4"/>
      <c r="D999" s="4"/>
      <c r="E999" s="4"/>
      <c r="F999" s="4"/>
      <c r="G999" s="4"/>
      <c r="H999" s="11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5"/>
      <c r="V999" s="115"/>
      <c r="W999" s="115"/>
      <c r="X999" s="115"/>
      <c r="Y999" s="115"/>
      <c r="Z999" s="115"/>
    </row>
    <row r="1000">
      <c r="A1000" s="4"/>
      <c r="B1000" s="4"/>
      <c r="C1000" s="4"/>
      <c r="D1000" s="4"/>
      <c r="E1000" s="4"/>
      <c r="F1000" s="4"/>
      <c r="G1000" s="4"/>
      <c r="H1000" s="11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5"/>
      <c r="V1000" s="115"/>
      <c r="W1000" s="115"/>
      <c r="X1000" s="115"/>
      <c r="Y1000" s="115"/>
      <c r="Z1000" s="115"/>
    </row>
    <row r="1001">
      <c r="A1001" s="4"/>
      <c r="B1001" s="4"/>
      <c r="C1001" s="4"/>
      <c r="D1001" s="4"/>
      <c r="E1001" s="4"/>
      <c r="F1001" s="4"/>
      <c r="G1001" s="4"/>
      <c r="H1001" s="11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5"/>
      <c r="V1001" s="115"/>
      <c r="W1001" s="115"/>
      <c r="X1001" s="115"/>
      <c r="Y1001" s="115"/>
      <c r="Z1001" s="115"/>
    </row>
    <row r="1002">
      <c r="A1002" s="4"/>
      <c r="B1002" s="4"/>
      <c r="C1002" s="4"/>
      <c r="D1002" s="4"/>
      <c r="E1002" s="4"/>
      <c r="F1002" s="4"/>
      <c r="G1002" s="4"/>
      <c r="H1002" s="11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5"/>
      <c r="V1002" s="115"/>
      <c r="W1002" s="115"/>
      <c r="X1002" s="115"/>
      <c r="Y1002" s="115"/>
      <c r="Z1002" s="115"/>
    </row>
    <row r="1003">
      <c r="A1003" s="4"/>
      <c r="B1003" s="4"/>
      <c r="C1003" s="4"/>
      <c r="D1003" s="4"/>
      <c r="E1003" s="4"/>
      <c r="F1003" s="4"/>
      <c r="G1003" s="4"/>
      <c r="H1003" s="11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5"/>
      <c r="V1003" s="115"/>
      <c r="W1003" s="115"/>
      <c r="X1003" s="115"/>
      <c r="Y1003" s="115"/>
      <c r="Z1003" s="115"/>
    </row>
    <row r="1004">
      <c r="A1004" s="4"/>
      <c r="B1004" s="4"/>
      <c r="C1004" s="4"/>
      <c r="D1004" s="4"/>
      <c r="E1004" s="4"/>
      <c r="F1004" s="4"/>
      <c r="G1004" s="4"/>
      <c r="H1004" s="11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5"/>
      <c r="V1004" s="115"/>
      <c r="W1004" s="115"/>
      <c r="X1004" s="115"/>
      <c r="Y1004" s="115"/>
      <c r="Z1004" s="115"/>
    </row>
    <row r="1005">
      <c r="A1005" s="4"/>
      <c r="B1005" s="4"/>
      <c r="C1005" s="4"/>
      <c r="D1005" s="4"/>
      <c r="E1005" s="4"/>
      <c r="F1005" s="4"/>
      <c r="G1005" s="4"/>
      <c r="H1005" s="11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5"/>
      <c r="V1005" s="115"/>
      <c r="W1005" s="115"/>
      <c r="X1005" s="115"/>
      <c r="Y1005" s="115"/>
      <c r="Z1005" s="115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18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18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18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18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18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18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18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9"/>
      <c r="B16" s="110"/>
      <c r="C16" s="120"/>
      <c r="D16" s="121"/>
      <c r="E16" s="122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9"/>
      <c r="B17" s="110"/>
      <c r="C17" s="120"/>
      <c r="D17" s="121"/>
      <c r="E17" s="122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9"/>
      <c r="B18" s="110"/>
      <c r="C18" s="120"/>
      <c r="D18" s="121"/>
      <c r="E18" s="122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3"/>
      <c r="B19" s="87"/>
      <c r="C19" s="124"/>
      <c r="D19" s="125"/>
      <c r="E19" s="114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6"/>
      <c r="B20" s="87"/>
      <c r="C20" s="124"/>
      <c r="D20" s="125"/>
      <c r="E20" s="114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6"/>
      <c r="B21" s="87"/>
      <c r="C21" s="124"/>
      <c r="D21" s="125"/>
      <c r="E21" s="114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3"/>
      <c r="B22" s="87"/>
      <c r="C22" s="124"/>
      <c r="D22" s="125"/>
      <c r="E22" s="114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6"/>
      <c r="B23" s="87"/>
      <c r="C23" s="25"/>
      <c r="D23" s="127"/>
      <c r="E23" s="114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6"/>
      <c r="B24" s="87"/>
      <c r="C24" s="25"/>
      <c r="D24" s="127"/>
      <c r="E24" s="114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6"/>
      <c r="B25" s="87"/>
      <c r="C25" s="25"/>
      <c r="D25" s="127"/>
      <c r="E25" s="114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6"/>
      <c r="B26" s="25"/>
      <c r="C26" s="25"/>
      <c r="D26" s="127"/>
      <c r="E26" s="114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6"/>
      <c r="B27" s="25"/>
      <c r="C27" s="25"/>
      <c r="D27" s="127"/>
      <c r="E27" s="114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6"/>
      <c r="B28" s="25"/>
      <c r="C28" s="25"/>
      <c r="D28" s="127"/>
      <c r="E28" s="114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7"/>
      <c r="B29" s="25"/>
      <c r="C29" s="25"/>
      <c r="D29" s="25"/>
      <c r="E29" s="114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7"/>
      <c r="B30" s="25"/>
      <c r="C30" s="25"/>
      <c r="D30" s="25"/>
      <c r="E30" s="114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7"/>
      <c r="B31" s="25"/>
      <c r="C31" s="25"/>
      <c r="D31" s="25"/>
      <c r="E31" s="114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7"/>
      <c r="B32" s="25"/>
      <c r="C32" s="25"/>
      <c r="D32" s="25"/>
      <c r="E32" s="114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7"/>
      <c r="B33" s="25"/>
      <c r="C33" s="25"/>
      <c r="D33" s="25"/>
      <c r="E33" s="114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7"/>
      <c r="B34" s="25"/>
      <c r="C34" s="25"/>
      <c r="D34" s="25"/>
      <c r="E34" s="114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7"/>
      <c r="B35" s="25"/>
      <c r="C35" s="25"/>
      <c r="D35" s="25"/>
      <c r="E35" s="114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7"/>
      <c r="B36" s="25"/>
      <c r="C36" s="25"/>
      <c r="D36" s="25"/>
      <c r="E36" s="114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7"/>
      <c r="B37" s="25"/>
      <c r="C37" s="25"/>
      <c r="D37" s="25"/>
      <c r="E37" s="114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4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4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4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4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4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4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4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4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4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4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4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4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4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4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4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4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4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4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4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4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4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4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4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4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4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4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4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4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4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4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4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4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4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4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4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4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4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4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4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4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4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4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4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4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4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4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4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4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4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4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4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4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4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4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4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4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4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4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4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4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4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4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4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4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4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4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4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4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4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4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4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4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4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4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4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4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4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4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4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4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4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4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4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4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4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4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4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4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4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4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4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4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4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4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4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4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4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4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4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4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4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4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4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4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4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4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4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5"/>
      <c r="V971" s="115"/>
      <c r="W971" s="115"/>
      <c r="X971" s="115"/>
      <c r="Y971" s="115"/>
      <c r="Z971" s="115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5"/>
      <c r="V972" s="115"/>
      <c r="W972" s="115"/>
      <c r="X972" s="115"/>
      <c r="Y972" s="115"/>
      <c r="Z972" s="115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5"/>
      <c r="V973" s="115"/>
      <c r="W973" s="115"/>
      <c r="X973" s="115"/>
      <c r="Y973" s="115"/>
      <c r="Z973" s="115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5"/>
      <c r="V974" s="115"/>
      <c r="W974" s="115"/>
      <c r="X974" s="115"/>
      <c r="Y974" s="115"/>
      <c r="Z974" s="115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5"/>
      <c r="V975" s="115"/>
      <c r="W975" s="115"/>
      <c r="X975" s="115"/>
      <c r="Y975" s="115"/>
      <c r="Z975" s="115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5"/>
      <c r="V976" s="115"/>
      <c r="W976" s="115"/>
      <c r="X976" s="115"/>
      <c r="Y976" s="115"/>
      <c r="Z976" s="115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5"/>
      <c r="V977" s="115"/>
      <c r="W977" s="115"/>
      <c r="X977" s="115"/>
      <c r="Y977" s="115"/>
      <c r="Z977" s="115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5"/>
      <c r="V978" s="115"/>
      <c r="W978" s="115"/>
      <c r="X978" s="115"/>
      <c r="Y978" s="115"/>
      <c r="Z978" s="115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5"/>
      <c r="V979" s="115"/>
      <c r="W979" s="115"/>
      <c r="X979" s="115"/>
      <c r="Y979" s="115"/>
      <c r="Z979" s="115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5"/>
      <c r="V980" s="115"/>
      <c r="W980" s="115"/>
      <c r="X980" s="115"/>
      <c r="Y980" s="115"/>
      <c r="Z980" s="115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5"/>
      <c r="V981" s="115"/>
      <c r="W981" s="115"/>
      <c r="X981" s="115"/>
      <c r="Y981" s="115"/>
      <c r="Z981" s="115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5"/>
      <c r="V982" s="115"/>
      <c r="W982" s="115"/>
      <c r="X982" s="115"/>
      <c r="Y982" s="115"/>
      <c r="Z982" s="115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5"/>
      <c r="V983" s="115"/>
      <c r="W983" s="115"/>
      <c r="X983" s="115"/>
      <c r="Y983" s="115"/>
      <c r="Z983" s="115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5"/>
      <c r="V984" s="115"/>
      <c r="W984" s="115"/>
      <c r="X984" s="115"/>
      <c r="Y984" s="115"/>
      <c r="Z984" s="115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5"/>
      <c r="V985" s="115"/>
      <c r="W985" s="115"/>
      <c r="X985" s="115"/>
      <c r="Y985" s="115"/>
      <c r="Z985" s="115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5"/>
      <c r="V986" s="115"/>
      <c r="W986" s="115"/>
      <c r="X986" s="115"/>
      <c r="Y986" s="115"/>
      <c r="Z986" s="115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5"/>
      <c r="V987" s="115"/>
      <c r="W987" s="115"/>
      <c r="X987" s="115"/>
      <c r="Y987" s="115"/>
      <c r="Z987" s="115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5"/>
      <c r="V988" s="115"/>
      <c r="W988" s="115"/>
      <c r="X988" s="115"/>
      <c r="Y988" s="115"/>
      <c r="Z988" s="115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5"/>
      <c r="V989" s="115"/>
      <c r="W989" s="115"/>
      <c r="X989" s="115"/>
      <c r="Y989" s="115"/>
      <c r="Z989" s="115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5"/>
      <c r="V990" s="115"/>
      <c r="W990" s="115"/>
      <c r="X990" s="115"/>
      <c r="Y990" s="115"/>
      <c r="Z990" s="115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5"/>
      <c r="V991" s="115"/>
      <c r="W991" s="115"/>
      <c r="X991" s="115"/>
      <c r="Y991" s="115"/>
      <c r="Z991" s="115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5"/>
      <c r="V992" s="115"/>
      <c r="W992" s="115"/>
      <c r="X992" s="115"/>
      <c r="Y992" s="115"/>
      <c r="Z992" s="115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5"/>
      <c r="V993" s="115"/>
      <c r="W993" s="115"/>
      <c r="X993" s="115"/>
      <c r="Y993" s="115"/>
      <c r="Z993" s="115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5"/>
      <c r="V994" s="115"/>
      <c r="W994" s="115"/>
      <c r="X994" s="115"/>
      <c r="Y994" s="115"/>
      <c r="Z994" s="115"/>
    </row>
    <row r="995">
      <c r="A995" s="4"/>
      <c r="B995" s="4"/>
      <c r="C995" s="4"/>
      <c r="D995" s="4"/>
      <c r="E995" s="4"/>
      <c r="F995" s="4"/>
      <c r="G995" s="4"/>
      <c r="H995" s="11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5"/>
      <c r="V995" s="115"/>
      <c r="W995" s="115"/>
      <c r="X995" s="115"/>
      <c r="Y995" s="115"/>
      <c r="Z995" s="115"/>
    </row>
    <row r="996">
      <c r="A996" s="4"/>
      <c r="B996" s="4"/>
      <c r="C996" s="4"/>
      <c r="D996" s="4"/>
      <c r="E996" s="4"/>
      <c r="F996" s="4"/>
      <c r="G996" s="4"/>
      <c r="H996" s="11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5"/>
      <c r="V996" s="115"/>
      <c r="W996" s="115"/>
      <c r="X996" s="115"/>
      <c r="Y996" s="115"/>
      <c r="Z996" s="115"/>
    </row>
    <row r="997">
      <c r="A997" s="4"/>
      <c r="B997" s="4"/>
      <c r="C997" s="4"/>
      <c r="D997" s="4"/>
      <c r="E997" s="4"/>
      <c r="F997" s="4"/>
      <c r="G997" s="4"/>
      <c r="H997" s="11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5"/>
      <c r="V997" s="115"/>
      <c r="W997" s="115"/>
      <c r="X997" s="115"/>
      <c r="Y997" s="115"/>
      <c r="Z997" s="115"/>
    </row>
    <row r="998">
      <c r="A998" s="4"/>
      <c r="B998" s="4"/>
      <c r="C998" s="4"/>
      <c r="D998" s="4"/>
      <c r="E998" s="4"/>
      <c r="F998" s="4"/>
      <c r="G998" s="4"/>
      <c r="H998" s="11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5"/>
      <c r="V998" s="115"/>
      <c r="W998" s="115"/>
      <c r="X998" s="115"/>
      <c r="Y998" s="115"/>
      <c r="Z998" s="115"/>
    </row>
    <row r="999">
      <c r="A999" s="4"/>
      <c r="B999" s="4"/>
      <c r="C999" s="4"/>
      <c r="D999" s="4"/>
      <c r="E999" s="4"/>
      <c r="F999" s="4"/>
      <c r="G999" s="4"/>
      <c r="H999" s="11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5"/>
      <c r="V999" s="115"/>
      <c r="W999" s="115"/>
      <c r="X999" s="115"/>
      <c r="Y999" s="115"/>
      <c r="Z999" s="115"/>
    </row>
    <row r="1000">
      <c r="A1000" s="4"/>
      <c r="B1000" s="4"/>
      <c r="C1000" s="4"/>
      <c r="D1000" s="4"/>
      <c r="E1000" s="4"/>
      <c r="F1000" s="4"/>
      <c r="G1000" s="4"/>
      <c r="H1000" s="11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5"/>
      <c r="V1000" s="115"/>
      <c r="W1000" s="115"/>
      <c r="X1000" s="115"/>
      <c r="Y1000" s="115"/>
      <c r="Z1000" s="115"/>
    </row>
    <row r="1001">
      <c r="A1001" s="4"/>
      <c r="B1001" s="4"/>
      <c r="C1001" s="4"/>
      <c r="D1001" s="4"/>
      <c r="E1001" s="4"/>
      <c r="F1001" s="4"/>
      <c r="G1001" s="4"/>
      <c r="H1001" s="11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5"/>
      <c r="V1001" s="115"/>
      <c r="W1001" s="115"/>
      <c r="X1001" s="115"/>
      <c r="Y1001" s="115"/>
      <c r="Z1001" s="115"/>
    </row>
    <row r="1002">
      <c r="A1002" s="4"/>
      <c r="B1002" s="4"/>
      <c r="C1002" s="4"/>
      <c r="D1002" s="4"/>
      <c r="E1002" s="4"/>
      <c r="F1002" s="4"/>
      <c r="G1002" s="4"/>
      <c r="H1002" s="11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5"/>
      <c r="V1002" s="115"/>
      <c r="W1002" s="115"/>
      <c r="X1002" s="115"/>
      <c r="Y1002" s="115"/>
      <c r="Z1002" s="115"/>
    </row>
    <row r="1003">
      <c r="A1003" s="4"/>
      <c r="B1003" s="4"/>
      <c r="C1003" s="4"/>
      <c r="D1003" s="4"/>
      <c r="E1003" s="4"/>
      <c r="F1003" s="4"/>
      <c r="G1003" s="4"/>
      <c r="H1003" s="11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5"/>
      <c r="V1003" s="115"/>
      <c r="W1003" s="115"/>
      <c r="X1003" s="115"/>
      <c r="Y1003" s="115"/>
      <c r="Z1003" s="115"/>
    </row>
    <row r="1004">
      <c r="A1004" s="4"/>
      <c r="B1004" s="4"/>
      <c r="C1004" s="4"/>
      <c r="D1004" s="4"/>
      <c r="E1004" s="4"/>
      <c r="F1004" s="4"/>
      <c r="G1004" s="4"/>
      <c r="H1004" s="11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5"/>
      <c r="V1004" s="115"/>
      <c r="W1004" s="115"/>
      <c r="X1004" s="115"/>
      <c r="Y1004" s="115"/>
      <c r="Z1004" s="115"/>
    </row>
    <row r="1005">
      <c r="A1005" s="4"/>
      <c r="B1005" s="4"/>
      <c r="C1005" s="4"/>
      <c r="D1005" s="4"/>
      <c r="E1005" s="4"/>
      <c r="F1005" s="4"/>
      <c r="G1005" s="4"/>
      <c r="H1005" s="11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5"/>
      <c r="V1005" s="115"/>
      <c r="W1005" s="115"/>
      <c r="X1005" s="115"/>
      <c r="Y1005" s="115"/>
      <c r="Z1005" s="115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18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18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18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18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18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18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18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9"/>
      <c r="B16" s="110"/>
      <c r="C16" s="120"/>
      <c r="D16" s="121"/>
      <c r="E16" s="122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9"/>
      <c r="B17" s="110"/>
      <c r="C17" s="120"/>
      <c r="D17" s="121"/>
      <c r="E17" s="122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9"/>
      <c r="B18" s="110"/>
      <c r="C18" s="120"/>
      <c r="D18" s="121"/>
      <c r="E18" s="122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3"/>
      <c r="B19" s="87"/>
      <c r="C19" s="124"/>
      <c r="D19" s="125"/>
      <c r="E19" s="114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6"/>
      <c r="B20" s="87"/>
      <c r="C20" s="124"/>
      <c r="D20" s="125"/>
      <c r="E20" s="114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6"/>
      <c r="B21" s="87"/>
      <c r="C21" s="124"/>
      <c r="D21" s="125"/>
      <c r="E21" s="114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3"/>
      <c r="B22" s="87"/>
      <c r="C22" s="124"/>
      <c r="D22" s="125"/>
      <c r="E22" s="114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6"/>
      <c r="B23" s="87"/>
      <c r="C23" s="25"/>
      <c r="D23" s="127"/>
      <c r="E23" s="114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6"/>
      <c r="B24" s="87"/>
      <c r="C24" s="25"/>
      <c r="D24" s="127"/>
      <c r="E24" s="114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6"/>
      <c r="B25" s="87"/>
      <c r="C25" s="25"/>
      <c r="D25" s="127"/>
      <c r="E25" s="114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6"/>
      <c r="B26" s="25"/>
      <c r="C26" s="25"/>
      <c r="D26" s="127"/>
      <c r="E26" s="114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6"/>
      <c r="B27" s="25"/>
      <c r="C27" s="25"/>
      <c r="D27" s="127"/>
      <c r="E27" s="114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6"/>
      <c r="B28" s="25"/>
      <c r="C28" s="25"/>
      <c r="D28" s="127"/>
      <c r="E28" s="114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7"/>
      <c r="B29" s="25"/>
      <c r="C29" s="25"/>
      <c r="D29" s="25"/>
      <c r="E29" s="114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7"/>
      <c r="B30" s="25"/>
      <c r="C30" s="25"/>
      <c r="D30" s="25"/>
      <c r="E30" s="114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7"/>
      <c r="B31" s="25"/>
      <c r="C31" s="25"/>
      <c r="D31" s="25"/>
      <c r="E31" s="114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7"/>
      <c r="B32" s="25"/>
      <c r="C32" s="25"/>
      <c r="D32" s="25"/>
      <c r="E32" s="114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7"/>
      <c r="B33" s="25"/>
      <c r="C33" s="25"/>
      <c r="D33" s="25"/>
      <c r="E33" s="114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7"/>
      <c r="B34" s="25"/>
      <c r="C34" s="25"/>
      <c r="D34" s="25"/>
      <c r="E34" s="114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7"/>
      <c r="B35" s="25"/>
      <c r="C35" s="25"/>
      <c r="D35" s="25"/>
      <c r="E35" s="114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7"/>
      <c r="B36" s="25"/>
      <c r="C36" s="25"/>
      <c r="D36" s="25"/>
      <c r="E36" s="114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7"/>
      <c r="B37" s="25"/>
      <c r="C37" s="25"/>
      <c r="D37" s="25"/>
      <c r="E37" s="114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4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4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4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4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4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4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4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4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4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4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4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4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4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4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4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4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4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4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4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4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4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4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4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4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4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4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4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4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4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4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4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4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4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4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4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4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4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4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4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4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4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4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4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4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4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4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4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4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4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4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4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4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4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4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4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4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4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4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4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4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4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4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4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4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4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4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4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4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4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4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4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4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4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4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4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4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4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4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4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4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4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4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4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4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4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4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4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4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4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4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4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4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4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4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4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4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4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4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4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4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4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4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4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4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4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4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4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5"/>
      <c r="V971" s="115"/>
      <c r="W971" s="115"/>
      <c r="X971" s="115"/>
      <c r="Y971" s="115"/>
      <c r="Z971" s="115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5"/>
      <c r="V972" s="115"/>
      <c r="W972" s="115"/>
      <c r="X972" s="115"/>
      <c r="Y972" s="115"/>
      <c r="Z972" s="115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5"/>
      <c r="V973" s="115"/>
      <c r="W973" s="115"/>
      <c r="X973" s="115"/>
      <c r="Y973" s="115"/>
      <c r="Z973" s="115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5"/>
      <c r="V974" s="115"/>
      <c r="W974" s="115"/>
      <c r="X974" s="115"/>
      <c r="Y974" s="115"/>
      <c r="Z974" s="115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5"/>
      <c r="V975" s="115"/>
      <c r="W975" s="115"/>
      <c r="X975" s="115"/>
      <c r="Y975" s="115"/>
      <c r="Z975" s="115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5"/>
      <c r="V976" s="115"/>
      <c r="W976" s="115"/>
      <c r="X976" s="115"/>
      <c r="Y976" s="115"/>
      <c r="Z976" s="115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5"/>
      <c r="V977" s="115"/>
      <c r="W977" s="115"/>
      <c r="X977" s="115"/>
      <c r="Y977" s="115"/>
      <c r="Z977" s="115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5"/>
      <c r="V978" s="115"/>
      <c r="W978" s="115"/>
      <c r="X978" s="115"/>
      <c r="Y978" s="115"/>
      <c r="Z978" s="115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5"/>
      <c r="V979" s="115"/>
      <c r="W979" s="115"/>
      <c r="X979" s="115"/>
      <c r="Y979" s="115"/>
      <c r="Z979" s="115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5"/>
      <c r="V980" s="115"/>
      <c r="W980" s="115"/>
      <c r="X980" s="115"/>
      <c r="Y980" s="115"/>
      <c r="Z980" s="115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5"/>
      <c r="V981" s="115"/>
      <c r="W981" s="115"/>
      <c r="X981" s="115"/>
      <c r="Y981" s="115"/>
      <c r="Z981" s="115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5"/>
      <c r="V982" s="115"/>
      <c r="W982" s="115"/>
      <c r="X982" s="115"/>
      <c r="Y982" s="115"/>
      <c r="Z982" s="115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5"/>
      <c r="V983" s="115"/>
      <c r="W983" s="115"/>
      <c r="X983" s="115"/>
      <c r="Y983" s="115"/>
      <c r="Z983" s="115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5"/>
      <c r="V984" s="115"/>
      <c r="W984" s="115"/>
      <c r="X984" s="115"/>
      <c r="Y984" s="115"/>
      <c r="Z984" s="115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5"/>
      <c r="V985" s="115"/>
      <c r="W985" s="115"/>
      <c r="X985" s="115"/>
      <c r="Y985" s="115"/>
      <c r="Z985" s="115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5"/>
      <c r="V986" s="115"/>
      <c r="W986" s="115"/>
      <c r="X986" s="115"/>
      <c r="Y986" s="115"/>
      <c r="Z986" s="115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5"/>
      <c r="V987" s="115"/>
      <c r="W987" s="115"/>
      <c r="X987" s="115"/>
      <c r="Y987" s="115"/>
      <c r="Z987" s="115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5"/>
      <c r="V988" s="115"/>
      <c r="W988" s="115"/>
      <c r="X988" s="115"/>
      <c r="Y988" s="115"/>
      <c r="Z988" s="115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5"/>
      <c r="V989" s="115"/>
      <c r="W989" s="115"/>
      <c r="X989" s="115"/>
      <c r="Y989" s="115"/>
      <c r="Z989" s="115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5"/>
      <c r="V990" s="115"/>
      <c r="W990" s="115"/>
      <c r="X990" s="115"/>
      <c r="Y990" s="115"/>
      <c r="Z990" s="115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5"/>
      <c r="V991" s="115"/>
      <c r="W991" s="115"/>
      <c r="X991" s="115"/>
      <c r="Y991" s="115"/>
      <c r="Z991" s="115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5"/>
      <c r="V992" s="115"/>
      <c r="W992" s="115"/>
      <c r="X992" s="115"/>
      <c r="Y992" s="115"/>
      <c r="Z992" s="115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5"/>
      <c r="V993" s="115"/>
      <c r="W993" s="115"/>
      <c r="X993" s="115"/>
      <c r="Y993" s="115"/>
      <c r="Z993" s="115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5"/>
      <c r="V994" s="115"/>
      <c r="W994" s="115"/>
      <c r="X994" s="115"/>
      <c r="Y994" s="115"/>
      <c r="Z994" s="115"/>
    </row>
    <row r="995">
      <c r="A995" s="4"/>
      <c r="B995" s="4"/>
      <c r="C995" s="4"/>
      <c r="D995" s="4"/>
      <c r="E995" s="4"/>
      <c r="F995" s="4"/>
      <c r="G995" s="4"/>
      <c r="H995" s="11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5"/>
      <c r="V995" s="115"/>
      <c r="W995" s="115"/>
      <c r="X995" s="115"/>
      <c r="Y995" s="115"/>
      <c r="Z995" s="115"/>
    </row>
    <row r="996">
      <c r="A996" s="4"/>
      <c r="B996" s="4"/>
      <c r="C996" s="4"/>
      <c r="D996" s="4"/>
      <c r="E996" s="4"/>
      <c r="F996" s="4"/>
      <c r="G996" s="4"/>
      <c r="H996" s="11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5"/>
      <c r="V996" s="115"/>
      <c r="W996" s="115"/>
      <c r="X996" s="115"/>
      <c r="Y996" s="115"/>
      <c r="Z996" s="115"/>
    </row>
    <row r="997">
      <c r="A997" s="4"/>
      <c r="B997" s="4"/>
      <c r="C997" s="4"/>
      <c r="D997" s="4"/>
      <c r="E997" s="4"/>
      <c r="F997" s="4"/>
      <c r="G997" s="4"/>
      <c r="H997" s="11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5"/>
      <c r="V997" s="115"/>
      <c r="W997" s="115"/>
      <c r="X997" s="115"/>
      <c r="Y997" s="115"/>
      <c r="Z997" s="115"/>
    </row>
    <row r="998">
      <c r="A998" s="4"/>
      <c r="B998" s="4"/>
      <c r="C998" s="4"/>
      <c r="D998" s="4"/>
      <c r="E998" s="4"/>
      <c r="F998" s="4"/>
      <c r="G998" s="4"/>
      <c r="H998" s="11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5"/>
      <c r="V998" s="115"/>
      <c r="W998" s="115"/>
      <c r="X998" s="115"/>
      <c r="Y998" s="115"/>
      <c r="Z998" s="115"/>
    </row>
    <row r="999">
      <c r="A999" s="4"/>
      <c r="B999" s="4"/>
      <c r="C999" s="4"/>
      <c r="D999" s="4"/>
      <c r="E999" s="4"/>
      <c r="F999" s="4"/>
      <c r="G999" s="4"/>
      <c r="H999" s="11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5"/>
      <c r="V999" s="115"/>
      <c r="W999" s="115"/>
      <c r="X999" s="115"/>
      <c r="Y999" s="115"/>
      <c r="Z999" s="115"/>
    </row>
    <row r="1000">
      <c r="A1000" s="4"/>
      <c r="B1000" s="4"/>
      <c r="C1000" s="4"/>
      <c r="D1000" s="4"/>
      <c r="E1000" s="4"/>
      <c r="F1000" s="4"/>
      <c r="G1000" s="4"/>
      <c r="H1000" s="11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5"/>
      <c r="V1000" s="115"/>
      <c r="W1000" s="115"/>
      <c r="X1000" s="115"/>
      <c r="Y1000" s="115"/>
      <c r="Z1000" s="115"/>
    </row>
    <row r="1001">
      <c r="A1001" s="4"/>
      <c r="B1001" s="4"/>
      <c r="C1001" s="4"/>
      <c r="D1001" s="4"/>
      <c r="E1001" s="4"/>
      <c r="F1001" s="4"/>
      <c r="G1001" s="4"/>
      <c r="H1001" s="11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5"/>
      <c r="V1001" s="115"/>
      <c r="W1001" s="115"/>
      <c r="X1001" s="115"/>
      <c r="Y1001" s="115"/>
      <c r="Z1001" s="115"/>
    </row>
    <row r="1002">
      <c r="A1002" s="4"/>
      <c r="B1002" s="4"/>
      <c r="C1002" s="4"/>
      <c r="D1002" s="4"/>
      <c r="E1002" s="4"/>
      <c r="F1002" s="4"/>
      <c r="G1002" s="4"/>
      <c r="H1002" s="11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5"/>
      <c r="V1002" s="115"/>
      <c r="W1002" s="115"/>
      <c r="X1002" s="115"/>
      <c r="Y1002" s="115"/>
      <c r="Z1002" s="115"/>
    </row>
    <row r="1003">
      <c r="A1003" s="4"/>
      <c r="B1003" s="4"/>
      <c r="C1003" s="4"/>
      <c r="D1003" s="4"/>
      <c r="E1003" s="4"/>
      <c r="F1003" s="4"/>
      <c r="G1003" s="4"/>
      <c r="H1003" s="11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5"/>
      <c r="V1003" s="115"/>
      <c r="W1003" s="115"/>
      <c r="X1003" s="115"/>
      <c r="Y1003" s="115"/>
      <c r="Z1003" s="115"/>
    </row>
    <row r="1004">
      <c r="A1004" s="4"/>
      <c r="B1004" s="4"/>
      <c r="C1004" s="4"/>
      <c r="D1004" s="4"/>
      <c r="E1004" s="4"/>
      <c r="F1004" s="4"/>
      <c r="G1004" s="4"/>
      <c r="H1004" s="11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5"/>
      <c r="V1004" s="115"/>
      <c r="W1004" s="115"/>
      <c r="X1004" s="115"/>
      <c r="Y1004" s="115"/>
      <c r="Z1004" s="115"/>
    </row>
    <row r="1005">
      <c r="A1005" s="4"/>
      <c r="B1005" s="4"/>
      <c r="C1005" s="4"/>
      <c r="D1005" s="4"/>
      <c r="E1005" s="4"/>
      <c r="F1005" s="4"/>
      <c r="G1005" s="4"/>
      <c r="H1005" s="11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5"/>
      <c r="V1005" s="115"/>
      <c r="W1005" s="115"/>
      <c r="X1005" s="115"/>
      <c r="Y1005" s="115"/>
      <c r="Z1005" s="115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18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18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18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18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18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18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18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9"/>
      <c r="B16" s="110"/>
      <c r="C16" s="120"/>
      <c r="D16" s="121"/>
      <c r="E16" s="122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9"/>
      <c r="B17" s="110"/>
      <c r="C17" s="120"/>
      <c r="D17" s="121"/>
      <c r="E17" s="122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9"/>
      <c r="B18" s="110"/>
      <c r="C18" s="120"/>
      <c r="D18" s="121"/>
      <c r="E18" s="122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3"/>
      <c r="B19" s="87"/>
      <c r="C19" s="124"/>
      <c r="D19" s="125"/>
      <c r="E19" s="114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6"/>
      <c r="B20" s="87"/>
      <c r="C20" s="124"/>
      <c r="D20" s="125"/>
      <c r="E20" s="114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6"/>
      <c r="B21" s="87"/>
      <c r="C21" s="124"/>
      <c r="D21" s="125"/>
      <c r="E21" s="114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3"/>
      <c r="B22" s="87"/>
      <c r="C22" s="124"/>
      <c r="D22" s="125"/>
      <c r="E22" s="114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6"/>
      <c r="B23" s="87"/>
      <c r="C23" s="25"/>
      <c r="D23" s="127"/>
      <c r="E23" s="114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6"/>
      <c r="B24" s="87"/>
      <c r="C24" s="25"/>
      <c r="D24" s="127"/>
      <c r="E24" s="114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6"/>
      <c r="B25" s="87"/>
      <c r="C25" s="25"/>
      <c r="D25" s="127"/>
      <c r="E25" s="114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6"/>
      <c r="B26" s="25"/>
      <c r="C26" s="25"/>
      <c r="D26" s="127"/>
      <c r="E26" s="114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6"/>
      <c r="B27" s="25"/>
      <c r="C27" s="25"/>
      <c r="D27" s="127"/>
      <c r="E27" s="114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6"/>
      <c r="B28" s="25"/>
      <c r="C28" s="25"/>
      <c r="D28" s="127"/>
      <c r="E28" s="114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7"/>
      <c r="B29" s="25"/>
      <c r="C29" s="25"/>
      <c r="D29" s="25"/>
      <c r="E29" s="114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7"/>
      <c r="B30" s="25"/>
      <c r="C30" s="25"/>
      <c r="D30" s="25"/>
      <c r="E30" s="114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7"/>
      <c r="B31" s="25"/>
      <c r="C31" s="25"/>
      <c r="D31" s="25"/>
      <c r="E31" s="114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7"/>
      <c r="B32" s="25"/>
      <c r="C32" s="25"/>
      <c r="D32" s="25"/>
      <c r="E32" s="114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7"/>
      <c r="B33" s="25"/>
      <c r="C33" s="25"/>
      <c r="D33" s="25"/>
      <c r="E33" s="114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7"/>
      <c r="B34" s="25"/>
      <c r="C34" s="25"/>
      <c r="D34" s="25"/>
      <c r="E34" s="114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7"/>
      <c r="B35" s="25"/>
      <c r="C35" s="25"/>
      <c r="D35" s="25"/>
      <c r="E35" s="114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7"/>
      <c r="B36" s="25"/>
      <c r="C36" s="25"/>
      <c r="D36" s="25"/>
      <c r="E36" s="114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7"/>
      <c r="B37" s="25"/>
      <c r="C37" s="25"/>
      <c r="D37" s="25"/>
      <c r="E37" s="114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4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4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4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4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4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4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4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4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4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4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4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4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4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4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4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4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4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4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4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4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4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4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4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4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4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4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4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4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4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4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4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4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4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4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4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4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4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4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4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4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4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4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4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4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4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4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4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4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4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4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4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4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4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4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4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4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4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4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4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4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4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4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4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4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4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4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4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4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4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4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4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4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4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4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4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4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4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4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4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4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4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4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4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4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4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4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4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4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4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4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4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4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4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4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4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4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4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4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4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4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4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4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4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4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4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4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4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5"/>
      <c r="V971" s="115"/>
      <c r="W971" s="115"/>
      <c r="X971" s="115"/>
      <c r="Y971" s="115"/>
      <c r="Z971" s="115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5"/>
      <c r="V972" s="115"/>
      <c r="W972" s="115"/>
      <c r="X972" s="115"/>
      <c r="Y972" s="115"/>
      <c r="Z972" s="115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5"/>
      <c r="V973" s="115"/>
      <c r="W973" s="115"/>
      <c r="X973" s="115"/>
      <c r="Y973" s="115"/>
      <c r="Z973" s="115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5"/>
      <c r="V974" s="115"/>
      <c r="W974" s="115"/>
      <c r="X974" s="115"/>
      <c r="Y974" s="115"/>
      <c r="Z974" s="115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5"/>
      <c r="V975" s="115"/>
      <c r="W975" s="115"/>
      <c r="X975" s="115"/>
      <c r="Y975" s="115"/>
      <c r="Z975" s="115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5"/>
      <c r="V976" s="115"/>
      <c r="W976" s="115"/>
      <c r="X976" s="115"/>
      <c r="Y976" s="115"/>
      <c r="Z976" s="115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5"/>
      <c r="V977" s="115"/>
      <c r="W977" s="115"/>
      <c r="X977" s="115"/>
      <c r="Y977" s="115"/>
      <c r="Z977" s="115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5"/>
      <c r="V978" s="115"/>
      <c r="W978" s="115"/>
      <c r="X978" s="115"/>
      <c r="Y978" s="115"/>
      <c r="Z978" s="115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5"/>
      <c r="V979" s="115"/>
      <c r="W979" s="115"/>
      <c r="X979" s="115"/>
      <c r="Y979" s="115"/>
      <c r="Z979" s="115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5"/>
      <c r="V980" s="115"/>
      <c r="W980" s="115"/>
      <c r="X980" s="115"/>
      <c r="Y980" s="115"/>
      <c r="Z980" s="115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5"/>
      <c r="V981" s="115"/>
      <c r="W981" s="115"/>
      <c r="X981" s="115"/>
      <c r="Y981" s="115"/>
      <c r="Z981" s="115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5"/>
      <c r="V982" s="115"/>
      <c r="W982" s="115"/>
      <c r="X982" s="115"/>
      <c r="Y982" s="115"/>
      <c r="Z982" s="115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5"/>
      <c r="V983" s="115"/>
      <c r="W983" s="115"/>
      <c r="X983" s="115"/>
      <c r="Y983" s="115"/>
      <c r="Z983" s="115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5"/>
      <c r="V984" s="115"/>
      <c r="W984" s="115"/>
      <c r="X984" s="115"/>
      <c r="Y984" s="115"/>
      <c r="Z984" s="115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5"/>
      <c r="V985" s="115"/>
      <c r="W985" s="115"/>
      <c r="X985" s="115"/>
      <c r="Y985" s="115"/>
      <c r="Z985" s="115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5"/>
      <c r="V986" s="115"/>
      <c r="W986" s="115"/>
      <c r="X986" s="115"/>
      <c r="Y986" s="115"/>
      <c r="Z986" s="115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5"/>
      <c r="V987" s="115"/>
      <c r="W987" s="115"/>
      <c r="X987" s="115"/>
      <c r="Y987" s="115"/>
      <c r="Z987" s="115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5"/>
      <c r="V988" s="115"/>
      <c r="W988" s="115"/>
      <c r="X988" s="115"/>
      <c r="Y988" s="115"/>
      <c r="Z988" s="115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5"/>
      <c r="V989" s="115"/>
      <c r="W989" s="115"/>
      <c r="X989" s="115"/>
      <c r="Y989" s="115"/>
      <c r="Z989" s="115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5"/>
      <c r="V990" s="115"/>
      <c r="W990" s="115"/>
      <c r="X990" s="115"/>
      <c r="Y990" s="115"/>
      <c r="Z990" s="115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5"/>
      <c r="V991" s="115"/>
      <c r="W991" s="115"/>
      <c r="X991" s="115"/>
      <c r="Y991" s="115"/>
      <c r="Z991" s="115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5"/>
      <c r="V992" s="115"/>
      <c r="W992" s="115"/>
      <c r="X992" s="115"/>
      <c r="Y992" s="115"/>
      <c r="Z992" s="115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5"/>
      <c r="V993" s="115"/>
      <c r="W993" s="115"/>
      <c r="X993" s="115"/>
      <c r="Y993" s="115"/>
      <c r="Z993" s="115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5"/>
      <c r="V994" s="115"/>
      <c r="W994" s="115"/>
      <c r="X994" s="115"/>
      <c r="Y994" s="115"/>
      <c r="Z994" s="115"/>
    </row>
    <row r="995">
      <c r="A995" s="4"/>
      <c r="B995" s="4"/>
      <c r="C995" s="4"/>
      <c r="D995" s="4"/>
      <c r="E995" s="4"/>
      <c r="F995" s="4"/>
      <c r="G995" s="4"/>
      <c r="H995" s="11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5"/>
      <c r="V995" s="115"/>
      <c r="W995" s="115"/>
      <c r="X995" s="115"/>
      <c r="Y995" s="115"/>
      <c r="Z995" s="115"/>
    </row>
    <row r="996">
      <c r="A996" s="4"/>
      <c r="B996" s="4"/>
      <c r="C996" s="4"/>
      <c r="D996" s="4"/>
      <c r="E996" s="4"/>
      <c r="F996" s="4"/>
      <c r="G996" s="4"/>
      <c r="H996" s="11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5"/>
      <c r="V996" s="115"/>
      <c r="W996" s="115"/>
      <c r="X996" s="115"/>
      <c r="Y996" s="115"/>
      <c r="Z996" s="115"/>
    </row>
    <row r="997">
      <c r="A997" s="4"/>
      <c r="B997" s="4"/>
      <c r="C997" s="4"/>
      <c r="D997" s="4"/>
      <c r="E997" s="4"/>
      <c r="F997" s="4"/>
      <c r="G997" s="4"/>
      <c r="H997" s="11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5"/>
      <c r="V997" s="115"/>
      <c r="W997" s="115"/>
      <c r="X997" s="115"/>
      <c r="Y997" s="115"/>
      <c r="Z997" s="115"/>
    </row>
    <row r="998">
      <c r="A998" s="4"/>
      <c r="B998" s="4"/>
      <c r="C998" s="4"/>
      <c r="D998" s="4"/>
      <c r="E998" s="4"/>
      <c r="F998" s="4"/>
      <c r="G998" s="4"/>
      <c r="H998" s="11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5"/>
      <c r="V998" s="115"/>
      <c r="W998" s="115"/>
      <c r="X998" s="115"/>
      <c r="Y998" s="115"/>
      <c r="Z998" s="115"/>
    </row>
    <row r="999">
      <c r="A999" s="4"/>
      <c r="B999" s="4"/>
      <c r="C999" s="4"/>
      <c r="D999" s="4"/>
      <c r="E999" s="4"/>
      <c r="F999" s="4"/>
      <c r="G999" s="4"/>
      <c r="H999" s="11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5"/>
      <c r="V999" s="115"/>
      <c r="W999" s="115"/>
      <c r="X999" s="115"/>
      <c r="Y999" s="115"/>
      <c r="Z999" s="115"/>
    </row>
    <row r="1000">
      <c r="A1000" s="4"/>
      <c r="B1000" s="4"/>
      <c r="C1000" s="4"/>
      <c r="D1000" s="4"/>
      <c r="E1000" s="4"/>
      <c r="F1000" s="4"/>
      <c r="G1000" s="4"/>
      <c r="H1000" s="11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5"/>
      <c r="V1000" s="115"/>
      <c r="W1000" s="115"/>
      <c r="X1000" s="115"/>
      <c r="Y1000" s="115"/>
      <c r="Z1000" s="115"/>
    </row>
    <row r="1001">
      <c r="A1001" s="4"/>
      <c r="B1001" s="4"/>
      <c r="C1001" s="4"/>
      <c r="D1001" s="4"/>
      <c r="E1001" s="4"/>
      <c r="F1001" s="4"/>
      <c r="G1001" s="4"/>
      <c r="H1001" s="11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5"/>
      <c r="V1001" s="115"/>
      <c r="W1001" s="115"/>
      <c r="X1001" s="115"/>
      <c r="Y1001" s="115"/>
      <c r="Z1001" s="115"/>
    </row>
    <row r="1002">
      <c r="A1002" s="4"/>
      <c r="B1002" s="4"/>
      <c r="C1002" s="4"/>
      <c r="D1002" s="4"/>
      <c r="E1002" s="4"/>
      <c r="F1002" s="4"/>
      <c r="G1002" s="4"/>
      <c r="H1002" s="11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5"/>
      <c r="V1002" s="115"/>
      <c r="W1002" s="115"/>
      <c r="X1002" s="115"/>
      <c r="Y1002" s="115"/>
      <c r="Z1002" s="115"/>
    </row>
    <row r="1003">
      <c r="A1003" s="4"/>
      <c r="B1003" s="4"/>
      <c r="C1003" s="4"/>
      <c r="D1003" s="4"/>
      <c r="E1003" s="4"/>
      <c r="F1003" s="4"/>
      <c r="G1003" s="4"/>
      <c r="H1003" s="11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5"/>
      <c r="V1003" s="115"/>
      <c r="W1003" s="115"/>
      <c r="X1003" s="115"/>
      <c r="Y1003" s="115"/>
      <c r="Z1003" s="115"/>
    </row>
    <row r="1004">
      <c r="A1004" s="4"/>
      <c r="B1004" s="4"/>
      <c r="C1004" s="4"/>
      <c r="D1004" s="4"/>
      <c r="E1004" s="4"/>
      <c r="F1004" s="4"/>
      <c r="G1004" s="4"/>
      <c r="H1004" s="11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5"/>
      <c r="V1004" s="115"/>
      <c r="W1004" s="115"/>
      <c r="X1004" s="115"/>
      <c r="Y1004" s="115"/>
      <c r="Z1004" s="115"/>
    </row>
    <row r="1005">
      <c r="A1005" s="4"/>
      <c r="B1005" s="4"/>
      <c r="C1005" s="4"/>
      <c r="D1005" s="4"/>
      <c r="E1005" s="4"/>
      <c r="F1005" s="4"/>
      <c r="G1005" s="4"/>
      <c r="H1005" s="11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5"/>
      <c r="V1005" s="115"/>
      <c r="W1005" s="115"/>
      <c r="X1005" s="115"/>
      <c r="Y1005" s="115"/>
      <c r="Z1005" s="115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